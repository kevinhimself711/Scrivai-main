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180" tabRatio="657" activeTab="3"/>
  </bookViews>
  <sheets>
    <sheet name="作业项目清单" sheetId="1" r:id="rId1"/>
    <sheet name="参数表" sheetId="2" r:id="rId2"/>
    <sheet name="督查要求" sheetId="523" state="hidden" r:id="rId3"/>
    <sheet name="工作票(模板)" sheetId="3" r:id="rId4"/>
    <sheet name="工作票(模板) (2)" sheetId="525" r:id="rId5"/>
    <sheet name="工作票(模板) (3)" sheetId="526" r:id="rId6"/>
    <sheet name="汇总" sheetId="4" r:id="rId7"/>
    <sheet name="工作票1" sheetId="524" r:id="rId8"/>
  </sheets>
  <definedNames>
    <definedName name="_xlnm._FilterDatabase" localSheetId="0" hidden="1">作业项目清单!$A$1:$C$201</definedName>
    <definedName name="表头">OFFSET(参数表!$A$1,0,0,1,COUNTA(参数表!$1:$1))</definedName>
    <definedName name="左上角">参数表!$A$1</definedName>
    <definedName name="_xlnm.Print_Area" localSheetId="3">'工作票(模板)'!$B$2:$G$39</definedName>
    <definedName name="_xlnm.Print_Area" localSheetId="4">'工作票(模板) (2)'!$B$2:$G$38</definedName>
    <definedName name="_xlnm.Print_Area" localSheetId="5">'工作票(模板) (3)'!$B$2:$G$38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<sst xmlns="http://schemas.openxmlformats.org/spreadsheetml/2006/main" count="966" uniqueCount="373">
  <si>
    <t>作业项目</t>
  </si>
  <si>
    <t>基准风险值评分</t>
  </si>
  <si>
    <t>风险等级</t>
  </si>
  <si>
    <t>特殊条件下的导线（如特殊导线）拆除或更换新导线作业</t>
  </si>
  <si>
    <t>中风险</t>
  </si>
  <si>
    <t>架空线路停电检查、调整及更换导地线金具附件</t>
  </si>
  <si>
    <t>低风险</t>
  </si>
  <si>
    <t>架空线路停电更换耐张自爆玻璃绝缘子</t>
  </si>
  <si>
    <t>架空线路停电调整及更换悬垂绝缘子</t>
  </si>
  <si>
    <t>架空线路线路带电检查及更换地线金具附件</t>
  </si>
  <si>
    <t>架空线路停电装拆引流板或引流线</t>
  </si>
  <si>
    <t>架空线路杆塔构件补装</t>
  </si>
  <si>
    <t>架空线路停电拆、装线路避雷器</t>
  </si>
  <si>
    <t>架空线路带电补装或更换杆塔标示牌</t>
  </si>
  <si>
    <t>架空线路带电挂、取盐密样品</t>
  </si>
  <si>
    <t>架空线路杆塔组立</t>
  </si>
  <si>
    <t>架空线路停电放撤或更换导、地线</t>
  </si>
  <si>
    <t>架空线路停电安装或更换故障定位装置</t>
  </si>
  <si>
    <t>线路杆塔带电安装或更换视频监控装置</t>
  </si>
  <si>
    <t>架空线路带电安装或更换微气象装置</t>
  </si>
  <si>
    <t>架空线路带电补装、更换杆塔附件或防护装置</t>
  </si>
  <si>
    <t>架空线路等电位带电检查、调整及更换导地线金具附件</t>
  </si>
  <si>
    <t>架空线路等电位带电更换耐张自爆玻璃绝缘子</t>
  </si>
  <si>
    <t>架空线路等电位带电调整及更换悬垂绝缘子</t>
  </si>
  <si>
    <t>架空线路等电位带电装拆引流板或引流线</t>
  </si>
  <si>
    <t>退运线路杆塔、导线拆除作业</t>
  </si>
  <si>
    <t>架空线路更换拉线</t>
  </si>
  <si>
    <t>可接受风险</t>
  </si>
  <si>
    <t>架空线路调整拉线</t>
  </si>
  <si>
    <t>架空线路安装或更换基础位移监控装置</t>
  </si>
  <si>
    <t>架空线路更换接地引下线</t>
  </si>
  <si>
    <t>电缆安装或更换电缆环流监测装置</t>
  </si>
  <si>
    <t>电缆安装或更换电缆故障定位装置</t>
  </si>
  <si>
    <t>电缆安装或更换光纤测温装置</t>
  </si>
  <si>
    <t>电缆避雷器更换</t>
  </si>
  <si>
    <t>电缆终端场或电缆通道地面（非高空作业）安装或更换视频监控装置</t>
  </si>
  <si>
    <t>电缆避雷器计数器带电更换</t>
  </si>
  <si>
    <t>电缆线路安装或更换接地箱（带电）</t>
  </si>
  <si>
    <t>电缆线路安装或更换接地箱（停电）</t>
  </si>
  <si>
    <t>架空线路安装、拆除ADSS光缆</t>
  </si>
  <si>
    <t>架空线路带电安装防鸟装置</t>
  </si>
  <si>
    <t>架空线路带电补装或更换附件及监测设备</t>
  </si>
  <si>
    <t>架空线路带电补装或更换杆塔相序牌</t>
  </si>
  <si>
    <t>架空线路带电塔身安装鸟笼</t>
  </si>
  <si>
    <t>架空线路地面架设限高架</t>
  </si>
  <si>
    <t>架空线路多回单侧停电，放撤或更换停电侧ADSS光缆</t>
  </si>
  <si>
    <t>架空线路附件停电安装</t>
  </si>
  <si>
    <t>架空线路更换或粘贴杆号牌、线行牌、基础牌、禁止攀登牌等</t>
  </si>
  <si>
    <t>架空线路停电安装防鸟设施</t>
  </si>
  <si>
    <t>架空线路停电更换耐张绝缘子</t>
  </si>
  <si>
    <t>避雷器放电计数器或在线监测仪检查（无人机）</t>
  </si>
  <si>
    <t>电缆线路及附属设施红外检测</t>
  </si>
  <si>
    <t>架空线路对地和交叉跨越距离测量</t>
  </si>
  <si>
    <t>架空线路多旋翼无人机激光雷达测距</t>
  </si>
  <si>
    <t>架空线路杆塔接地电阻测量</t>
  </si>
  <si>
    <t>架空线路红外测温检测（地面作业）</t>
  </si>
  <si>
    <t>架空线路红外测温检测（塔上作业）</t>
  </si>
  <si>
    <t>架空线路弧垂测量</t>
  </si>
  <si>
    <t>架空线路铁塔、横担倾斜度测量</t>
  </si>
  <si>
    <t>架空线路无人机可见光拍摄、红外测温作业</t>
  </si>
  <si>
    <t>接地电阻测量</t>
  </si>
  <si>
    <t>架空线路清除高杆植物</t>
  </si>
  <si>
    <t>架空线路停电修补导地线</t>
  </si>
  <si>
    <t>架空线路停电清抹、喷涂玻璃绝缘子</t>
  </si>
  <si>
    <t>架空线路带电塔材除锈喷涂防腐油漆</t>
  </si>
  <si>
    <t>架空线路线夹X光检测</t>
  </si>
  <si>
    <t>架空线路杆塔基础及护坡检修</t>
  </si>
  <si>
    <t>架空线路接地引下线开挖检查</t>
  </si>
  <si>
    <t>非新展放电缆斩接作业</t>
  </si>
  <si>
    <t>架空线路核相、摇绝缘、测参数工作</t>
  </si>
  <si>
    <t>电缆接地系统停电检修</t>
  </si>
  <si>
    <t>电缆附件停电检修</t>
  </si>
  <si>
    <t>电缆外护套停电检修</t>
  </si>
  <si>
    <t>电缆终端头线夹发热停电处理</t>
  </si>
  <si>
    <t>电缆X光检测</t>
  </si>
  <si>
    <t>电缆辅助设施维护</t>
  </si>
  <si>
    <t>电缆主绝缘故障修复</t>
  </si>
  <si>
    <t>电缆中间接头制作</t>
  </si>
  <si>
    <t>电缆终端头制作</t>
  </si>
  <si>
    <t>电缆环流检测</t>
  </si>
  <si>
    <t>电缆接头工井地网检修</t>
  </si>
  <si>
    <t>工作地段两端已挂好接地线，在变电站、终端塔电缆出土对电缆斩接</t>
  </si>
  <si>
    <t>架空线路带电检测瓷瓶</t>
  </si>
  <si>
    <t>架空线路带电清除异物（塔上作业）</t>
  </si>
  <si>
    <t>架空线路带电修补导地线</t>
  </si>
  <si>
    <t>架空线路地电位带电处理地线防振锤</t>
  </si>
  <si>
    <t>架空线路地电位带电处理地线放电间隙</t>
  </si>
  <si>
    <t>架空线路多旋翼无人机激光雷达作业</t>
  </si>
  <si>
    <t>架空线路多旋翼无人机喷火消缺</t>
  </si>
  <si>
    <t>架空线路多旋翼无人倾斜摄影作业</t>
  </si>
  <si>
    <t>架空线路杆头杂草清理、排水沟、防撞墙等附属设施维护</t>
  </si>
  <si>
    <t>架空线路激光远程清障仪清除异物作业</t>
  </si>
  <si>
    <t>架空线路监测及警示装置维护作业</t>
  </si>
  <si>
    <t>架空线路塔上压接导地线压接管</t>
  </si>
  <si>
    <t>架空线路停电安装在线监测装置</t>
  </si>
  <si>
    <t>架空线路停电处理线夹发热</t>
  </si>
  <si>
    <t>架空线路停电加固ADSS金具附件作业</t>
  </si>
  <si>
    <t>架空线路停电清除异物（塔上作业）</t>
  </si>
  <si>
    <t>架空线路停电装拆跳线</t>
  </si>
  <si>
    <t>接地网开挖检查</t>
  </si>
  <si>
    <t>接地装置安装、检修</t>
  </si>
  <si>
    <t>输电电缆安健环设施检修</t>
  </si>
  <si>
    <t>输电电缆瓷套式终端停电清抹</t>
  </si>
  <si>
    <t>输电电缆附件检修</t>
  </si>
  <si>
    <t>输电电缆接地系统带电检修</t>
  </si>
  <si>
    <t>输电电缆接地系统检修</t>
  </si>
  <si>
    <t>输电电缆路径探测（包含RTK、全站仪、路径仪、导向仪、陀螺仪等作业方式）</t>
  </si>
  <si>
    <t>输电电缆通道隐患处理</t>
  </si>
  <si>
    <t>输电电缆外护套检修</t>
  </si>
  <si>
    <t>输电电缆在线监测设备维护检修</t>
  </si>
  <si>
    <t>输电电缆终端头线夹发热处理</t>
  </si>
  <si>
    <t>输电线路导、地线线夹及接续金具检查</t>
  </si>
  <si>
    <t>巡视道路检修</t>
  </si>
  <si>
    <t>普通基础机械开挖深度 5 米及以上</t>
  </si>
  <si>
    <t>普通基础人工开挖深度 5 米及以上</t>
  </si>
  <si>
    <t>高风险</t>
  </si>
  <si>
    <t>地质条件、周围环境和地下管线复杂，或影响毗邻建（构）筑物安全的基坑（槽）的土方开挖</t>
  </si>
  <si>
    <t>普通基础机械基坑开挖深度 3-5 米</t>
  </si>
  <si>
    <t>普通基础人工基坑开挖深度 3-5 米</t>
  </si>
  <si>
    <t>周边 3 米范围存在燃气、电缆、通讯管线等不利环境基坑机械开挖（基坑）</t>
  </si>
  <si>
    <t>人工开挖造成燃气、电缆、通讯管线等裸露</t>
  </si>
  <si>
    <t>开挖范围存在与燃气、电缆、通讯管线等垂直交叉</t>
  </si>
  <si>
    <t>重要或敏感道路占道开挖</t>
  </si>
  <si>
    <t>开挖深度超过 16m 的人工挖孔桩工程</t>
  </si>
  <si>
    <t>开挖深度不超 16m 的人工挖扩孔桩（含掏挖桩） 工程</t>
  </si>
  <si>
    <t>邻近电力运行设备吊装，吊机旋转半径可能达到运行安全距离的吊装作业</t>
  </si>
  <si>
    <t>临近交通道路、裸露运行管线、人员密集区域、铁路等重要建构筑物吊装，吊机旋转半径可能到达毗邻区域安全距离的吊装作业</t>
  </si>
  <si>
    <t>跨越高速公路、快速公路脚手架（跨越架）搭设封网、拆网及使用</t>
  </si>
  <si>
    <t>跨越铁路脚手架（跨越架）搭设、封网及使用</t>
  </si>
  <si>
    <t>跨越 110 千伏及以上脚手架（跨越架）搭设及使用</t>
  </si>
  <si>
    <t>新型及异型脚手架工程搭设及使用</t>
  </si>
  <si>
    <t>跨越架搭设高度超过 15m 工程</t>
  </si>
  <si>
    <t>跨越交通复杂道路、高架桥、立交桥等脚手架（跨 越架）搭设及使用</t>
  </si>
  <si>
    <t>影响人、交通、燃气设施、电力设施、通讯设施或其他建（构）筑物安全的拆除工程</t>
  </si>
  <si>
    <t>其它作业环境复杂的建构筑物拆除作业</t>
  </si>
  <si>
    <t>架线施工跨越重要铁路（含普通铁路、高铁、地铁等）、航道、高速公路、重要建构筑物、110kV 及以上带电跨越等</t>
  </si>
  <si>
    <t>复杂环境（包括夜间施工、人口稠密区域、重要交 通区域、临近高压带电体等）组（拆）塔及放线施工</t>
  </si>
  <si>
    <t>采用新技术、新工艺、新材料、新设备及尚无相关技术标准的危险性较大的分部分项工程</t>
  </si>
  <si>
    <t>按跨越高塔设计且高度超过 80m 的铁塔组立工程</t>
  </si>
  <si>
    <t>按大跨越设计的大跨越工程</t>
  </si>
  <si>
    <t>500kV 及以上停电跨越工程</t>
  </si>
  <si>
    <t>与带电运行线路同塔架设的线路架线（或拆除）工程</t>
  </si>
  <si>
    <t>作业最小安全距离处于临界值的临近带电施工工程</t>
  </si>
  <si>
    <t>土质高度超过 10 米或岩质高度超过 15 米的高边坡工程</t>
  </si>
  <si>
    <t>市区、管线复杂（临近或交叉燃气、输油管线、电力、通讯、水管等）区域顶管作业</t>
  </si>
  <si>
    <t>其它非常规方式立塔、架线、拆线作业（夜间照明度不足情况下立塔或放线、整体式立塔等）</t>
  </si>
  <si>
    <t>电缆土建开挖及恢复</t>
  </si>
  <si>
    <t>电缆线路敷设电缆</t>
  </si>
  <si>
    <t>架空线路保护区内进行满足安全距离要求的桩基础钻桩施工工程</t>
  </si>
  <si>
    <t>架空线路杆塔地面防撞及附属设施安装</t>
  </si>
  <si>
    <t>架空线路杆塔防攀网设施安装</t>
  </si>
  <si>
    <t>架空线路杆塔防坠落装置安装</t>
  </si>
  <si>
    <t>架空线路杆塔基础边坡及排水设施修理</t>
  </si>
  <si>
    <t>架空线路杆塔倾斜调整（带电作业）</t>
  </si>
  <si>
    <t>架空线路杆塔倾斜调整（停电作业）</t>
  </si>
  <si>
    <t>架空线路杆塔在线监控装置或附属设施安装</t>
  </si>
  <si>
    <t>架空线路杆塔组立（机械吊装）</t>
  </si>
  <si>
    <t>架空线路杆塔钻桩基础施工</t>
  </si>
  <si>
    <t>架空线路塔基、巡线及汽车便道清理维修</t>
  </si>
  <si>
    <t>架空线路线路停电检查及更换导线金具及附件</t>
  </si>
  <si>
    <t>跨越10千伏带电线路跨越架搭设及封网施工</t>
  </si>
  <si>
    <t>跨越110kV以下带电线路、非一级公路搭设或拆除跨越架</t>
  </si>
  <si>
    <t>跨越35千伏及以上带电线路封网施工</t>
  </si>
  <si>
    <t>跨越架搭设高度未超过 15m 工程</t>
  </si>
  <si>
    <t>普通基础基坑开挖深度 3 米以下</t>
  </si>
  <si>
    <t>人工挖扩孔桩（含掏挖桩）基础混凝土浇制</t>
  </si>
  <si>
    <t>输电线路杆塔地网改造、更换</t>
  </si>
  <si>
    <t>输电线路杆塔基础浇筑</t>
  </si>
  <si>
    <t>电缆线路参数测试；核相、测绝缘等</t>
  </si>
  <si>
    <t>与带电设备安全距离满足要求的基础钻桩（或钻探、抽芯等）施工</t>
  </si>
  <si>
    <t>与带电设备最小安全距离处于临界值的基础钻桩（地质钻探、桩基础抽芯等）施工</t>
  </si>
  <si>
    <t>跨越 35千伏及以下脚手架（跨越架）搭设及使用</t>
  </si>
  <si>
    <t>拆除线路施工跨越重要铁路（含普通铁路、高铁、地铁等）、航道、高速公路等（铁路、高速等进行交通中断拆旧）</t>
  </si>
  <si>
    <t>穿越运行中的110kV及以上带电线路的架线/拆线施工</t>
  </si>
  <si>
    <t>电缆避雷器带电试验</t>
  </si>
  <si>
    <t>电缆交叉互联系统预试</t>
  </si>
  <si>
    <t>电缆终端避雷器停电试验</t>
  </si>
  <si>
    <t>电缆局放检测</t>
  </si>
  <si>
    <t>电缆耐压试验</t>
  </si>
  <si>
    <t>电缆停电预试（外护套绝缘电阻试验、交叉互联检查、保护器试验、接头井地网测试等）</t>
  </si>
  <si>
    <t>电缆主绝缘电阻试验</t>
  </si>
  <si>
    <t>电缆外护套绝缘电阻试验</t>
  </si>
  <si>
    <t>架空线路零值绝缘子检测</t>
  </si>
  <si>
    <t>架空线路登塔检查</t>
  </si>
  <si>
    <t>架空线路带电检查ADSS光缆金具附件作业</t>
  </si>
  <si>
    <t>架空线路故障巡视</t>
  </si>
  <si>
    <t>电缆线路故障巡视</t>
  </si>
  <si>
    <t>电缆主绝缘故障停电查找</t>
  </si>
  <si>
    <t>隧道内电缆线路及附属设施巡视</t>
  </si>
  <si>
    <t>电缆线路日常巡视</t>
  </si>
  <si>
    <t>电缆线路特殊巡视</t>
  </si>
  <si>
    <t>架空线路及架空通讯光缆巡视</t>
  </si>
  <si>
    <t>架空线路特殊巡视</t>
  </si>
  <si>
    <t>架空线路重要交叉跨越/临近人口密集区或易燃易爆场所特殊巡视</t>
  </si>
  <si>
    <t>输电线路日常巡视（机巡）</t>
  </si>
  <si>
    <t>输电线路日常巡视（人工）</t>
  </si>
  <si>
    <t>输电线路无人机故障巡视</t>
  </si>
  <si>
    <t>输电线路无人机激光雷达作业</t>
  </si>
  <si>
    <t>架空线路中间验收</t>
  </si>
  <si>
    <t>架空线路竣工验收</t>
  </si>
  <si>
    <t>电缆中间验收</t>
  </si>
  <si>
    <t>电缆线路工程竣工验收</t>
  </si>
  <si>
    <t>架空线路基础验收</t>
  </si>
  <si>
    <t>架空线路验收（无人机）</t>
  </si>
  <si>
    <t>架空线路视频监控装置验收</t>
  </si>
  <si>
    <t>架空线路消缺验收</t>
  </si>
  <si>
    <t>架空线路走线验收</t>
  </si>
  <si>
    <t>每人得分</t>
  </si>
  <si>
    <t>工作负责人（含小组工作负责人）安全意识</t>
  </si>
  <si>
    <t>主要工作班成员（辅助工除外）安全意识</t>
  </si>
  <si>
    <t>监护人（含专职监护人）安全意识</t>
  </si>
  <si>
    <t>作业人员临时变更情况</t>
  </si>
  <si>
    <t>得分</t>
  </si>
  <si>
    <t>人员性质</t>
  </si>
  <si>
    <t>天气</t>
  </si>
  <si>
    <t>作业地段</t>
  </si>
  <si>
    <t>作业类型</t>
  </si>
  <si>
    <t>作业时段</t>
  </si>
  <si>
    <t>单日持续作业时长（疲劳度）</t>
  </si>
  <si>
    <t>计划性质</t>
  </si>
  <si>
    <t>关键重要站点（线路）</t>
  </si>
  <si>
    <t>3年内0-2次D类违章</t>
  </si>
  <si>
    <t>工作负责人在作业前1日确认的</t>
  </si>
  <si>
    <t>本单位</t>
  </si>
  <si>
    <t>天气舒适</t>
  </si>
  <si>
    <t>无特殊区段</t>
  </si>
  <si>
    <t>地面以上1.5米以下</t>
  </si>
  <si>
    <t>正常时段作业</t>
  </si>
  <si>
    <t>不超4小时</t>
  </si>
  <si>
    <t>计划性工作</t>
  </si>
  <si>
    <t>非关键重要站点（线路）</t>
  </si>
  <si>
    <t>3年内累计3次及以上D类违章</t>
  </si>
  <si>
    <t>作业当日临时变更工作负责人</t>
  </si>
  <si>
    <t>外施工单位</t>
  </si>
  <si>
    <t>户外作业小雨天气</t>
  </si>
  <si>
    <t>有限空间内作业：风、水、电和空气监测设施完备、信号传输正常的电缆隧道</t>
  </si>
  <si>
    <t>1.5米以上5米以下</t>
  </si>
  <si>
    <t>二级保供电期间涉及保供电设备的作业</t>
  </si>
  <si>
    <t>超过4小时但不超8小时</t>
  </si>
  <si>
    <t>提前一日制定的临时性作业任务</t>
  </si>
  <si>
    <t>3年内累计1次及以上C类违章</t>
  </si>
  <si>
    <t>劳务人员</t>
  </si>
  <si>
    <t>户外作业4～5级大风</t>
  </si>
  <si>
    <t>有限空间内作业：风、水、电和空气监测设施不完备、信号传输不正常的电缆隧道</t>
  </si>
  <si>
    <t>5米以上15米以下</t>
  </si>
  <si>
    <t>站内或室内夜间作业(0点-次日6：00)</t>
  </si>
  <si>
    <t>超过8小时但不超12小时</t>
  </si>
  <si>
    <t>当日制定的临时性作业任务</t>
  </si>
  <si>
    <t>3年内累计1次及以上B类违章</t>
  </si>
  <si>
    <t>气象部门发布蓝色天气预警信号后，户外作业受天气影响时</t>
  </si>
  <si>
    <t>有限空间环境当氧气不足或有毒有害气体含量超标时，禁止作业</t>
  </si>
  <si>
    <t>禁止作业</t>
  </si>
  <si>
    <t>15米以上30米以下</t>
  </si>
  <si>
    <t>站外线路夜间作业(20：00-次日6：00)</t>
  </si>
  <si>
    <t>超过12小时</t>
  </si>
  <si>
    <t>3年内累计1次及以上A类违章</t>
  </si>
  <si>
    <t>气象部门发布黄色及以上天气预警信号后，户外作业受天气影响时</t>
  </si>
  <si>
    <t>作业区段内包含（双）多回共塔带电线路</t>
  </si>
  <si>
    <t>30米以上</t>
  </si>
  <si>
    <t>特级、一级保供电涉及保供电设备的作业、或春节等法定假日（含前后调休）期间作业</t>
  </si>
  <si>
    <t>雷雨、雷电、风力大于五级时（台风、大风预警信号）不具备户外工作条件，不得工作</t>
  </si>
  <si>
    <t>不得工作</t>
  </si>
  <si>
    <t>林区内作业</t>
  </si>
  <si>
    <t>动火作业</t>
  </si>
  <si>
    <t>每日得分</t>
  </si>
  <si>
    <t>工作负责人（含小组工作负责人）组织同类型作业次数</t>
  </si>
  <si>
    <t>主要工作班成员（辅助工除外）参与同类型作业次数</t>
  </si>
  <si>
    <t>监护人（含专职监护人）参与同类型作业次数</t>
  </si>
  <si>
    <t>作业人员精神状态、疲劳程度</t>
  </si>
  <si>
    <t>地质隐患区内作业</t>
  </si>
  <si>
    <t>大型吊装作业</t>
  </si>
  <si>
    <t>1年内2次及以上或2年内5次及以上</t>
  </si>
  <si>
    <t>良好，每人计0分</t>
  </si>
  <si>
    <t>可能造成导、地线、光缆脱落的作业，区段内包含重要交叉跨越、带电线路、临近易燃易爆、危险化学品场所等</t>
  </si>
  <si>
    <t>不满足上述要求，但累计5次及以上</t>
  </si>
  <si>
    <t>一般，每人计2分</t>
  </si>
  <si>
    <t>累计不足5次但不小于3次</t>
  </si>
  <si>
    <t>较差，每人计10分</t>
  </si>
  <si>
    <t>累计不足3次但不是第一次</t>
  </si>
  <si>
    <t>很差，禁止作业</t>
  </si>
  <si>
    <t>第一次承担/参与/监护该类作业的</t>
  </si>
  <si>
    <t>作业项目类型：</t>
  </si>
  <si>
    <t>风险值低于20的风险为“可忽略风险”，无特殊督查要求</t>
  </si>
  <si>
    <t>单位、部门和岗位</t>
  </si>
  <si>
    <t>五级风险
督查要求</t>
  </si>
  <si>
    <t>四级风险
督查要求</t>
  </si>
  <si>
    <t>三级风险
督查要求</t>
  </si>
  <si>
    <t>二级风险
督查要求</t>
  </si>
  <si>
    <t>一级风险
督查要求</t>
  </si>
  <si>
    <t>配电运维中心（供电所）</t>
  </si>
  <si>
    <t>班组长或配电业务员</t>
  </si>
  <si>
    <t>巡视</t>
  </si>
  <si>
    <t>旁站</t>
  </si>
  <si>
    <t>驻点</t>
  </si>
  <si>
    <t>供电所班组参与实施</t>
  </si>
  <si>
    <t>生产所长</t>
  </si>
  <si>
    <t>区县局直管班组参与实施</t>
  </si>
  <si>
    <t>片区工作负责人</t>
  </si>
  <si>
    <t>全部由施工单位负责实施</t>
  </si>
  <si>
    <t>县区局</t>
  </si>
  <si>
    <t>职能部门管理人员</t>
  </si>
  <si>
    <t>职能部门领导</t>
  </si>
  <si>
    <t>分管业务领导</t>
  </si>
  <si>
    <t>地市局</t>
  </si>
  <si>
    <t>项目管理人员</t>
  </si>
  <si>
    <t>项目责任人</t>
  </si>
  <si>
    <t>单位主管领导</t>
  </si>
  <si>
    <t>监理人员</t>
  </si>
  <si>
    <t>项目管理部门</t>
  </si>
  <si>
    <t>安全管理人员</t>
  </si>
  <si>
    <t>班组长</t>
  </si>
  <si>
    <t>生产局长</t>
  </si>
  <si>
    <t>监理单位</t>
  </si>
  <si>
    <t>项目实施部门</t>
  </si>
  <si>
    <t>县区局项目管理部门和主管局长</t>
  </si>
  <si>
    <t>部门领导</t>
  </si>
  <si>
    <t>项目主管局长</t>
  </si>
  <si>
    <t>具有线路中级工资格的班员</t>
  </si>
  <si>
    <t>具有工作负责人资格的班员</t>
  </si>
  <si>
    <t>县区局专业管理部门</t>
  </si>
  <si>
    <t>管理人员</t>
  </si>
  <si>
    <t>地市局专业管理部门</t>
  </si>
  <si>
    <t>工作任务风险值(F)</t>
  </si>
  <si>
    <t>作业
单位</t>
  </si>
  <si>
    <t>中国能源建设集团广东火电工程有限公司</t>
  </si>
  <si>
    <t>设备所属
运行单位</t>
  </si>
  <si>
    <t>输电管理所五班</t>
  </si>
  <si>
    <t>工作
任务</t>
  </si>
  <si>
    <t>广东500千伏碧山输变电工程:上寨至珠东北站双回线路开断接入碧山变500千伏线路工程：
110kV升瓦甲线、110kV升瓦乙线、110kV升欧线停电配合上寨至珠东北站双回线路开断接入碧山变500千伏线路工程BS9-BS18段、BZ8-BZ17段架线施工</t>
  </si>
  <si>
    <t>勘察人</t>
  </si>
  <si>
    <t>陈谭发、骆东财、王义权、张伯资、柴兆禧</t>
  </si>
  <si>
    <t>勘察时间</t>
  </si>
  <si>
    <t>工作
负责人</t>
  </si>
  <si>
    <t>张伯资、柴兆禧</t>
  </si>
  <si>
    <t>联系电话</t>
  </si>
  <si>
    <t>13076170957、13109732085</t>
  </si>
  <si>
    <t>作业类型风险值(A)</t>
  </si>
  <si>
    <t>序号</t>
  </si>
  <si>
    <t>作业任务</t>
  </si>
  <si>
    <t>作业人员能力风险值(B)</t>
  </si>
  <si>
    <t>人数</t>
  </si>
  <si>
    <t>评分</t>
  </si>
  <si>
    <t>辅助工人数</t>
  </si>
  <si>
    <t>作业总人数</t>
  </si>
  <si>
    <t>/</t>
  </si>
  <si>
    <t>作业人员精神状态、疲劳程度良好</t>
  </si>
  <si>
    <t>作业人员精神状态、疲劳程度一般</t>
  </si>
  <si>
    <t>作业人员精神状态、疲劳程度较差</t>
  </si>
  <si>
    <t>作业人员精神状态、疲劳程度很差人数</t>
  </si>
  <si>
    <t>作业环境和时间影响风险值(C)</t>
  </si>
  <si>
    <t>粤港澳大湾区500kV外环东段工程(河源段)施工(第二标段)：
1、500kV承渡乙线N45塔A相 (右相) 光缆小号侧金具螺栓补装开口销。
2、500kV承渡乙线N71塔C相 (中相) 导线侧金具施工遗留物清理。</t>
  </si>
  <si>
    <t>江杏平、马志刚、王义权、王彪、王庸华</t>
  </si>
  <si>
    <t>刘宇强</t>
  </si>
  <si>
    <t>10kV及以上带电跨（穿）越工程</t>
  </si>
  <si>
    <t>输电管理所三班</t>
  </si>
  <si>
    <t>粤港澳大湾区500kV外环东段工程(河源段)施工(第二标段)：500kV珠东北至苏区线路工程：
1、恢复35kV苏承线313线路41#-42#段OPGW光缆挂线（在35kV苏承线313线路42#塔侧挂线）。</t>
  </si>
  <si>
    <t>沈荫环、骆东财、吴剑峰、曾金伟、王彪、王庸华</t>
  </si>
  <si>
    <t>曾金伟</t>
  </si>
  <si>
    <t>工作任务总风险值(F)</t>
  </si>
  <si>
    <t>作业
风险等级</t>
  </si>
  <si>
    <r>
      <rPr>
        <b/>
        <sz val="11"/>
        <color theme="1"/>
        <rFont val="微软雅黑"/>
        <charset val="134"/>
      </rPr>
      <t>作业风险修正值(F</t>
    </r>
    <r>
      <rPr>
        <b/>
        <sz val="6"/>
        <color theme="1"/>
        <rFont val="微软雅黑"/>
        <charset val="134"/>
      </rPr>
      <t>γ</t>
    </r>
    <r>
      <rPr>
        <b/>
        <sz val="11"/>
        <color theme="1"/>
        <rFont val="微软雅黑"/>
        <charset val="134"/>
      </rPr>
      <t>)</t>
    </r>
  </si>
  <si>
    <t>施工总人数</t>
  </si>
  <si>
    <t>新宝成电气工程有限公司</t>
  </si>
  <si>
    <t>城区供电所</t>
  </si>
  <si>
    <t>1、把10kV独联线独州支线#11杆、#14杆更换，并更换杆上的绝缘子、金具。
2、将独州支线#11塔至#14塔和加工厂分支线的架空线路改电缆。</t>
  </si>
  <si>
    <t>廖祖欣、廖卓光、钟卫光</t>
  </si>
  <si>
    <t>工作票数量</t>
  </si>
  <si>
    <t>施工人数</t>
  </si>
  <si>
    <t>风险值(F)</t>
  </si>
  <si>
    <t>工作负责人</t>
  </si>
  <si>
    <t>劲能有限公司</t>
  </si>
  <si>
    <t>1、更换10kV独联线独州支线#11杆、#14杆电杆，并更换杆上的绝缘子、金具。
2、将独州支线#11塔至#14塔和加工厂分支线的架空线路改电缆。</t>
  </si>
  <si>
    <t>罗永浩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</si>
</sst>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804]General"/>
    <numFmt numFmtId="177" formatCode="yyyy/mm/dd"/>
    <numFmt numFmtId="178" formatCode="yyyy&quot;／&quot;mm&quot;／&quot;dd"/>
  </numFmts>
  <fonts count="41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1"/>
      <color theme="1"/>
      <name val="微软雅黑"/>
      <charset val="134"/>
    </font>
    <font>
      <sz val="10"/>
      <color indexed="8"/>
      <name val="微软雅黑"/>
      <charset val="134"/>
    </font>
    <font>
      <sz val="11"/>
      <color theme="1"/>
      <name val="微软雅黑"/>
      <charset val="134"/>
    </font>
    <font>
      <b/>
      <sz val="11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9" tint="-0.249977111117893"/>
      <name val="宋体"/>
      <charset val="134"/>
      <scheme val="minor"/>
    </font>
    <font>
      <b/>
      <sz val="11"/>
      <color theme="1"/>
      <name val="宋体"/>
      <charset val="134"/>
    </font>
    <font>
      <sz val="10"/>
      <name val="宋体"/>
      <charset val="134"/>
      <scheme val="minor"/>
    </font>
    <font>
      <sz val="10"/>
      <color rgb="FF000000"/>
      <name val="宋体"/>
      <charset val="134"/>
    </font>
    <font>
      <sz val="10"/>
      <color rgb="FF00B050"/>
      <name val="宋体"/>
      <charset val="134"/>
    </font>
    <font>
      <sz val="10"/>
      <color theme="1"/>
      <name val="宋体"/>
      <charset val="134"/>
    </font>
    <font>
      <sz val="10"/>
      <color theme="1"/>
      <name val="Times New Roman"/>
      <charset val="134"/>
    </font>
    <font>
      <sz val="10"/>
      <color rgb="FF000000"/>
      <name val="Times New Roman"/>
      <charset val="134"/>
    </font>
    <font>
      <sz val="10"/>
      <name val="微软雅黑"/>
      <charset val="134"/>
    </font>
    <font>
      <b/>
      <sz val="12"/>
      <color theme="1"/>
      <name val="微软雅黑"/>
      <charset val="134"/>
    </font>
    <font>
      <sz val="12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0000"/>
      <name val="宋体"/>
      <charset val="134"/>
    </font>
    <font>
      <b/>
      <sz val="6"/>
      <color theme="1"/>
      <name val="微软雅黑"/>
      <charset val="134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E2F0D9"/>
        <bgColor rgb="FFE2F0D9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2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1" borderId="84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85" applyNumberFormat="0" applyFill="0" applyAlignment="0" applyProtection="0">
      <alignment vertical="center"/>
    </xf>
    <xf numFmtId="0" fontId="26" fillId="0" borderId="85" applyNumberFormat="0" applyFill="0" applyAlignment="0" applyProtection="0">
      <alignment vertical="center"/>
    </xf>
    <xf numFmtId="0" fontId="27" fillId="0" borderId="86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2" borderId="87" applyNumberFormat="0" applyAlignment="0" applyProtection="0">
      <alignment vertical="center"/>
    </xf>
    <xf numFmtId="0" fontId="29" fillId="13" borderId="88" applyNumberFormat="0" applyAlignment="0" applyProtection="0">
      <alignment vertical="center"/>
    </xf>
    <xf numFmtId="0" fontId="30" fillId="13" borderId="87" applyNumberFormat="0" applyAlignment="0" applyProtection="0">
      <alignment vertical="center"/>
    </xf>
    <xf numFmtId="0" fontId="31" fillId="14" borderId="89" applyNumberFormat="0" applyAlignment="0" applyProtection="0">
      <alignment vertical="center"/>
    </xf>
    <xf numFmtId="0" fontId="32" fillId="0" borderId="90" applyNumberFormat="0" applyFill="0" applyAlignment="0" applyProtection="0">
      <alignment vertical="center"/>
    </xf>
    <xf numFmtId="0" fontId="33" fillId="0" borderId="91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8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176" fontId="39" fillId="0" borderId="0">
      <alignment vertical="center"/>
    </xf>
  </cellStyleXfs>
  <cellXfs count="172">
    <xf numFmtId="0" fontId="0" fillId="0" borderId="0" xfId="0">
      <alignment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2" fillId="3" borderId="3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4" borderId="5" xfId="0" applyFont="1" applyFill="1" applyBorder="1" applyAlignment="1" applyProtection="1">
      <alignment horizontal="center" vertical="center" wrapText="1"/>
      <protection locked="0"/>
    </xf>
    <xf numFmtId="0" fontId="3" fillId="4" borderId="6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4" borderId="8" xfId="0" applyFont="1" applyFill="1" applyBorder="1" applyAlignment="1" applyProtection="1">
      <alignment horizontal="center" vertical="center" wrapText="1"/>
      <protection locked="0"/>
    </xf>
    <xf numFmtId="0" fontId="3" fillId="4" borderId="9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4" borderId="11" xfId="0" applyFont="1" applyFill="1" applyBorder="1" applyAlignment="1" applyProtection="1">
      <alignment horizontal="left" vertical="center" wrapText="1"/>
      <protection locked="0"/>
    </xf>
    <xf numFmtId="0" fontId="3" fillId="4" borderId="12" xfId="0" applyFont="1" applyFill="1" applyBorder="1" applyAlignment="1" applyProtection="1">
      <alignment horizontal="left" vertical="center" wrapText="1"/>
      <protection locked="0"/>
    </xf>
    <xf numFmtId="0" fontId="3" fillId="4" borderId="13" xfId="0" applyFont="1" applyFill="1" applyBorder="1" applyAlignment="1" applyProtection="1">
      <alignment horizontal="left" vertical="center" wrapText="1"/>
      <protection locked="0"/>
    </xf>
    <xf numFmtId="0" fontId="3" fillId="4" borderId="11" xfId="0" applyFont="1" applyFill="1" applyBorder="1" applyAlignment="1" applyProtection="1">
      <alignment horizontal="center" vertical="center" wrapText="1"/>
      <protection locked="0"/>
    </xf>
    <xf numFmtId="0" fontId="3" fillId="4" borderId="14" xfId="0" applyFont="1" applyFill="1" applyBorder="1" applyAlignment="1" applyProtection="1">
      <alignment horizontal="center" vertical="center" wrapText="1"/>
      <protection locked="0"/>
    </xf>
    <xf numFmtId="0" fontId="3" fillId="2" borderId="15" xfId="0" applyFont="1" applyFill="1" applyBorder="1" applyAlignment="1" applyProtection="1">
      <alignment horizontal="center" vertical="center" wrapText="1"/>
      <protection locked="0"/>
    </xf>
    <xf numFmtId="177" fontId="3" fillId="4" borderId="16" xfId="0" applyNumberFormat="1" applyFont="1" applyFill="1" applyBorder="1" applyAlignment="1" applyProtection="1">
      <alignment horizontal="center" vertical="center" wrapText="1"/>
      <protection locked="0"/>
    </xf>
    <xf numFmtId="177" fontId="3" fillId="4" borderId="17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 applyProtection="1">
      <alignment horizontal="center" vertical="center" wrapText="1"/>
      <protection locked="0"/>
    </xf>
    <xf numFmtId="0" fontId="1" fillId="4" borderId="19" xfId="0" applyFont="1" applyFill="1" applyBorder="1" applyAlignment="1" applyProtection="1">
      <alignment horizontal="center" vertical="center"/>
      <protection locked="0"/>
    </xf>
    <xf numFmtId="0" fontId="1" fillId="4" borderId="20" xfId="0" applyFont="1" applyFill="1" applyBorder="1" applyAlignment="1" applyProtection="1">
      <alignment horizontal="center" vertical="center"/>
      <protection locked="0"/>
    </xf>
    <xf numFmtId="0" fontId="1" fillId="2" borderId="21" xfId="0" applyFont="1" applyFill="1" applyBorder="1" applyAlignment="1" applyProtection="1">
      <alignment horizontal="center" vertical="center"/>
      <protection locked="0"/>
    </xf>
    <xf numFmtId="0" fontId="1" fillId="4" borderId="22" xfId="0" applyFont="1" applyFill="1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 wrapText="1"/>
      <protection locked="0"/>
    </xf>
    <xf numFmtId="0" fontId="2" fillId="3" borderId="8" xfId="0" applyFont="1" applyFill="1" applyBorder="1" applyAlignment="1" applyProtection="1">
      <alignment horizontal="center" vertical="center" wrapText="1"/>
      <protection locked="0"/>
    </xf>
    <xf numFmtId="0" fontId="2" fillId="3" borderId="25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 applyProtection="1">
      <alignment horizontal="center" vertical="center" wrapText="1"/>
      <protection locked="0"/>
    </xf>
    <xf numFmtId="0" fontId="1" fillId="2" borderId="12" xfId="0" applyFont="1" applyFill="1" applyBorder="1" applyAlignment="1" applyProtection="1">
      <alignment horizontal="center" vertical="center" wrapText="1"/>
      <protection locked="0"/>
    </xf>
    <xf numFmtId="0" fontId="1" fillId="2" borderId="16" xfId="0" applyFont="1" applyFill="1" applyBorder="1" applyAlignment="1" applyProtection="1">
      <alignment horizontal="center" vertical="center" wrapText="1"/>
      <protection locked="0"/>
    </xf>
    <xf numFmtId="0" fontId="1" fillId="2" borderId="13" xfId="0" applyFont="1" applyFill="1" applyBorder="1" applyAlignment="1" applyProtection="1">
      <alignment horizontal="center" vertical="center" wrapText="1"/>
      <protection locked="0"/>
    </xf>
    <xf numFmtId="0" fontId="1" fillId="2" borderId="26" xfId="0" applyFont="1" applyFill="1" applyBorder="1" applyAlignment="1" applyProtection="1">
      <alignment horizontal="center" vertical="center" wrapText="1"/>
      <protection locked="0"/>
    </xf>
    <xf numFmtId="0" fontId="1" fillId="2" borderId="27" xfId="0" applyFont="1" applyFill="1" applyBorder="1" applyAlignment="1" applyProtection="1">
      <alignment horizontal="center" vertical="center" wrapText="1"/>
      <protection locked="0"/>
    </xf>
    <xf numFmtId="0" fontId="1" fillId="2" borderId="28" xfId="0" applyFont="1" applyFill="1" applyBorder="1" applyAlignment="1" applyProtection="1">
      <alignment horizontal="center" vertical="center" wrapText="1"/>
      <protection locked="0"/>
    </xf>
    <xf numFmtId="0" fontId="1" fillId="2" borderId="29" xfId="0" applyFont="1" applyFill="1" applyBorder="1" applyAlignment="1" applyProtection="1">
      <alignment horizontal="center" vertical="center" wrapText="1"/>
      <protection locked="0"/>
    </xf>
    <xf numFmtId="0" fontId="1" fillId="2" borderId="30" xfId="0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  <protection locked="0"/>
    </xf>
    <xf numFmtId="0" fontId="1" fillId="2" borderId="15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  <xf numFmtId="0" fontId="1" fillId="4" borderId="31" xfId="0" applyFont="1" applyFill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</xf>
    <xf numFmtId="0" fontId="1" fillId="0" borderId="32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</xf>
    <xf numFmtId="0" fontId="2" fillId="3" borderId="31" xfId="0" applyFont="1" applyFill="1" applyBorder="1" applyAlignment="1" applyProtection="1">
      <alignment horizontal="center" vertical="center" wrapText="1"/>
      <protection locked="0"/>
    </xf>
    <xf numFmtId="0" fontId="2" fillId="3" borderId="31" xfId="0" applyFont="1" applyFill="1" applyBorder="1" applyAlignment="1" applyProtection="1">
      <alignment horizontal="center" vertical="center" wrapText="1"/>
    </xf>
    <xf numFmtId="0" fontId="4" fillId="2" borderId="0" xfId="0" applyFont="1" applyFill="1">
      <alignment vertical="center"/>
    </xf>
    <xf numFmtId="0" fontId="4" fillId="2" borderId="0" xfId="0" applyFont="1" applyFill="1" applyProtection="1">
      <alignment vertical="center"/>
      <protection locked="0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2" fillId="3" borderId="33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2" fontId="2" fillId="3" borderId="35" xfId="0" applyNumberFormat="1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2" fontId="5" fillId="3" borderId="37" xfId="0" applyNumberFormat="1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2" fontId="2" fillId="3" borderId="40" xfId="0" applyNumberFormat="1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2" fontId="5" fillId="3" borderId="42" xfId="0" applyNumberFormat="1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2" fontId="5" fillId="3" borderId="44" xfId="0" applyNumberFormat="1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4" borderId="34" xfId="0" applyFont="1" applyFill="1" applyBorder="1" applyAlignment="1" applyProtection="1">
      <alignment horizontal="center" vertical="center" wrapText="1"/>
      <protection locked="0"/>
    </xf>
    <xf numFmtId="0" fontId="3" fillId="4" borderId="35" xfId="0" applyFont="1" applyFill="1" applyBorder="1" applyAlignment="1" applyProtection="1">
      <alignment horizontal="center" vertical="center" wrapText="1"/>
      <protection locked="0"/>
    </xf>
    <xf numFmtId="0" fontId="3" fillId="2" borderId="4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 applyProtection="1">
      <alignment horizontal="center" vertical="center" wrapText="1"/>
      <protection locked="0"/>
    </xf>
    <xf numFmtId="0" fontId="3" fillId="4" borderId="20" xfId="0" applyFont="1" applyFill="1" applyBorder="1" applyAlignment="1" applyProtection="1">
      <alignment horizontal="center" vertical="center" wrapText="1"/>
      <protection locked="0"/>
    </xf>
    <xf numFmtId="0" fontId="3" fillId="2" borderId="21" xfId="0" applyFont="1" applyFill="1" applyBorder="1" applyAlignment="1">
      <alignment horizontal="center" vertical="center" wrapText="1"/>
    </xf>
    <xf numFmtId="177" fontId="3" fillId="4" borderId="46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>
      <alignment horizontal="center" vertical="center"/>
    </xf>
    <xf numFmtId="0" fontId="1" fillId="4" borderId="31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0" xfId="0" applyFont="1" applyFill="1" applyAlignment="1" applyProtection="1">
      <alignment vertical="center" wrapText="1"/>
      <protection locked="0"/>
    </xf>
    <xf numFmtId="176" fontId="6" fillId="5" borderId="47" xfId="49" applyFont="1" applyFill="1" applyBorder="1" applyAlignment="1" applyProtection="1">
      <alignment horizontal="left" vertical="center" wrapText="1"/>
      <protection locked="0"/>
    </xf>
    <xf numFmtId="176" fontId="6" fillId="5" borderId="48" xfId="49" applyFont="1" applyFill="1" applyBorder="1" applyAlignment="1" applyProtection="1">
      <alignment horizontal="center" vertical="center" wrapText="1"/>
      <protection locked="0"/>
    </xf>
    <xf numFmtId="178" fontId="6" fillId="5" borderId="49" xfId="49" applyNumberFormat="1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/>
      <protection locked="0"/>
    </xf>
    <xf numFmtId="176" fontId="6" fillId="5" borderId="51" xfId="49" applyFont="1" applyFill="1" applyBorder="1" applyAlignment="1" applyProtection="1">
      <alignment horizontal="center" vertical="center" wrapText="1"/>
      <protection locked="0"/>
    </xf>
    <xf numFmtId="176" fontId="6" fillId="6" borderId="52" xfId="49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8" fillId="2" borderId="0" xfId="0" applyFont="1" applyFill="1" applyAlignment="1">
      <alignment horizontal="right" vertical="center"/>
    </xf>
    <xf numFmtId="0" fontId="9" fillId="2" borderId="31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 wrapText="1"/>
    </xf>
    <xf numFmtId="0" fontId="11" fillId="0" borderId="31" xfId="0" applyFont="1" applyFill="1" applyBorder="1" applyAlignment="1">
      <alignment horizontal="center" vertical="center" wrapText="1"/>
    </xf>
    <xf numFmtId="0" fontId="12" fillId="7" borderId="31" xfId="0" applyFont="1" applyFill="1" applyBorder="1" applyAlignment="1">
      <alignment horizontal="center" vertical="center" wrapText="1"/>
    </xf>
    <xf numFmtId="0" fontId="12" fillId="8" borderId="31" xfId="0" applyFont="1" applyFill="1" applyBorder="1" applyAlignment="1">
      <alignment horizontal="center" vertical="center" wrapText="1"/>
    </xf>
    <xf numFmtId="0" fontId="12" fillId="9" borderId="31" xfId="0" applyFont="1" applyFill="1" applyBorder="1" applyAlignment="1">
      <alignment horizontal="center" vertical="center" wrapText="1"/>
    </xf>
    <xf numFmtId="0" fontId="13" fillId="0" borderId="31" xfId="0" applyFont="1" applyFill="1" applyBorder="1" applyAlignment="1">
      <alignment horizontal="center" vertical="center" wrapText="1"/>
    </xf>
    <xf numFmtId="0" fontId="12" fillId="0" borderId="31" xfId="0" applyFont="1" applyFill="1" applyBorder="1" applyAlignment="1">
      <alignment horizontal="center" vertical="center" wrapText="1"/>
    </xf>
    <xf numFmtId="0" fontId="11" fillId="0" borderId="53" xfId="0" applyFont="1" applyFill="1" applyBorder="1" applyAlignment="1">
      <alignment horizontal="center" vertical="center" wrapText="1"/>
    </xf>
    <xf numFmtId="0" fontId="11" fillId="0" borderId="54" xfId="0" applyFont="1" applyFill="1" applyBorder="1" applyAlignment="1">
      <alignment horizontal="center" vertical="center" wrapText="1"/>
    </xf>
    <xf numFmtId="0" fontId="11" fillId="0" borderId="55" xfId="0" applyFont="1" applyFill="1" applyBorder="1" applyAlignment="1">
      <alignment horizontal="center" vertical="center" wrapText="1"/>
    </xf>
    <xf numFmtId="0" fontId="14" fillId="8" borderId="31" xfId="0" applyFont="1" applyFill="1" applyBorder="1" applyAlignment="1">
      <alignment horizontal="center" vertical="center" wrapText="1"/>
    </xf>
    <xf numFmtId="0" fontId="14" fillId="9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5" fillId="0" borderId="31" xfId="0" applyFont="1" applyFill="1" applyBorder="1" applyAlignment="1">
      <alignment horizontal="center" vertical="center" wrapText="1"/>
    </xf>
    <xf numFmtId="0" fontId="14" fillId="7" borderId="31" xfId="0" applyFont="1" applyFill="1" applyBorder="1" applyAlignment="1">
      <alignment horizontal="center" vertical="center" wrapText="1"/>
    </xf>
    <xf numFmtId="0" fontId="12" fillId="0" borderId="53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14" fillId="0" borderId="53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54" xfId="0" applyFont="1" applyBorder="1" applyAlignment="1">
      <alignment horizontal="center" vertical="center" wrapText="1"/>
    </xf>
    <xf numFmtId="0" fontId="14" fillId="0" borderId="55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2" fillId="10" borderId="31" xfId="0" applyFont="1" applyFill="1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56" xfId="0" applyFont="1" applyBorder="1" applyAlignment="1" applyProtection="1">
      <alignment horizontal="center" vertical="center" wrapText="1"/>
    </xf>
    <xf numFmtId="0" fontId="1" fillId="0" borderId="57" xfId="0" applyFont="1" applyBorder="1" applyAlignment="1" applyProtection="1">
      <alignment horizontal="center" vertical="center" wrapText="1"/>
    </xf>
    <xf numFmtId="0" fontId="1" fillId="0" borderId="58" xfId="0" applyFont="1" applyBorder="1" applyAlignment="1" applyProtection="1">
      <alignment horizontal="center" vertical="center" wrapText="1"/>
    </xf>
    <xf numFmtId="0" fontId="1" fillId="0" borderId="59" xfId="0" applyFont="1" applyBorder="1" applyAlignment="1" applyProtection="1">
      <alignment horizontal="center" vertical="center" wrapText="1"/>
    </xf>
    <xf numFmtId="0" fontId="1" fillId="0" borderId="60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5" xfId="0" applyFont="1" applyBorder="1" applyAlignment="1" applyProtection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</xf>
    <xf numFmtId="0" fontId="1" fillId="0" borderId="61" xfId="0" applyFont="1" applyBorder="1" applyAlignment="1" applyProtection="1">
      <alignment horizontal="center" vertical="center" wrapText="1"/>
    </xf>
    <xf numFmtId="0" fontId="1" fillId="0" borderId="62" xfId="0" applyFont="1" applyBorder="1" applyAlignment="1" applyProtection="1">
      <alignment horizontal="center" vertical="center" wrapText="1"/>
      <protection locked="0"/>
    </xf>
    <xf numFmtId="0" fontId="1" fillId="0" borderId="63" xfId="0" applyFont="1" applyBorder="1" applyAlignment="1" applyProtection="1">
      <alignment horizontal="center" vertical="center" wrapText="1"/>
      <protection locked="0"/>
    </xf>
    <xf numFmtId="0" fontId="1" fillId="0" borderId="64" xfId="0" applyFont="1" applyBorder="1" applyAlignment="1" applyProtection="1">
      <alignment horizontal="center" vertical="center" wrapText="1"/>
      <protection locked="0"/>
    </xf>
    <xf numFmtId="0" fontId="1" fillId="0" borderId="65" xfId="0" applyFont="1" applyBorder="1" applyAlignment="1" applyProtection="1">
      <alignment horizontal="center" vertical="center" wrapText="1"/>
      <protection locked="0"/>
    </xf>
    <xf numFmtId="0" fontId="1" fillId="0" borderId="66" xfId="0" applyFont="1" applyBorder="1" applyAlignment="1" applyProtection="1">
      <alignment horizontal="center" vertical="center" wrapText="1"/>
      <protection locked="0"/>
    </xf>
    <xf numFmtId="0" fontId="1" fillId="0" borderId="67" xfId="0" applyFont="1" applyBorder="1" applyAlignment="1" applyProtection="1">
      <alignment horizontal="center" vertical="center" wrapText="1"/>
      <protection locked="0"/>
    </xf>
    <xf numFmtId="0" fontId="1" fillId="0" borderId="68" xfId="0" applyFont="1" applyBorder="1" applyAlignment="1" applyProtection="1">
      <alignment horizontal="center" vertical="center" wrapText="1"/>
    </xf>
    <xf numFmtId="0" fontId="1" fillId="0" borderId="69" xfId="0" applyFont="1" applyBorder="1" applyAlignment="1" applyProtection="1">
      <alignment horizontal="center" vertical="center" wrapText="1"/>
      <protection locked="0"/>
    </xf>
    <xf numFmtId="0" fontId="1" fillId="0" borderId="70" xfId="0" applyFont="1" applyBorder="1" applyAlignment="1" applyProtection="1">
      <alignment horizontal="center" vertical="center" wrapText="1"/>
      <protection locked="0"/>
    </xf>
    <xf numFmtId="0" fontId="1" fillId="0" borderId="71" xfId="0" applyFont="1" applyBorder="1" applyAlignment="1" applyProtection="1">
      <alignment horizontal="center" vertical="center" wrapText="1"/>
      <protection locked="0"/>
    </xf>
    <xf numFmtId="0" fontId="1" fillId="0" borderId="72" xfId="0" applyFont="1" applyFill="1" applyBorder="1" applyAlignment="1" applyProtection="1">
      <alignment horizontal="center" vertical="center" wrapText="1"/>
      <protection locked="0"/>
    </xf>
    <xf numFmtId="0" fontId="1" fillId="0" borderId="73" xfId="0" applyFont="1" applyFill="1" applyBorder="1" applyAlignment="1" applyProtection="1">
      <alignment horizontal="center" vertical="center" wrapText="1"/>
      <protection locked="0"/>
    </xf>
    <xf numFmtId="0" fontId="1" fillId="0" borderId="69" xfId="0" applyFont="1" applyFill="1" applyBorder="1" applyAlignment="1" applyProtection="1">
      <alignment horizontal="center" vertical="center" wrapText="1"/>
      <protection locked="0"/>
    </xf>
    <xf numFmtId="0" fontId="1" fillId="0" borderId="74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Fill="1" applyBorder="1" applyAlignment="1" applyProtection="1">
      <alignment horizontal="center" vertical="center" wrapText="1"/>
      <protection locked="0"/>
    </xf>
    <xf numFmtId="0" fontId="1" fillId="0" borderId="76" xfId="0" applyFont="1" applyFill="1" applyBorder="1" applyAlignment="1" applyProtection="1">
      <alignment horizontal="center" vertical="center" wrapText="1"/>
      <protection locked="0"/>
    </xf>
    <xf numFmtId="0" fontId="1" fillId="0" borderId="77" xfId="0" applyFont="1" applyBorder="1" applyAlignment="1" applyProtection="1">
      <alignment horizontal="center" vertical="center" wrapText="1"/>
    </xf>
    <xf numFmtId="0" fontId="1" fillId="0" borderId="78" xfId="0" applyFont="1" applyBorder="1" applyAlignment="1" applyProtection="1">
      <alignment horizontal="center" vertical="center" wrapText="1"/>
      <protection locked="0"/>
    </xf>
    <xf numFmtId="0" fontId="1" fillId="0" borderId="79" xfId="0" applyFont="1" applyBorder="1" applyAlignment="1" applyProtection="1">
      <alignment horizontal="center" vertical="center" wrapText="1"/>
      <protection locked="0"/>
    </xf>
    <xf numFmtId="0" fontId="1" fillId="0" borderId="80" xfId="0" applyFont="1" applyBorder="1" applyAlignment="1" applyProtection="1">
      <alignment horizontal="center" vertical="center" wrapText="1"/>
      <protection locked="0"/>
    </xf>
    <xf numFmtId="0" fontId="1" fillId="0" borderId="8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8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" fillId="0" borderId="83" xfId="0" applyFont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Border="1" applyAlignment="1" applyProtection="1">
      <alignment horizontal="center" vertical="center" wrapText="1"/>
      <protection locked="0"/>
    </xf>
    <xf numFmtId="0" fontId="1" fillId="0" borderId="73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8" fillId="3" borderId="31" xfId="0" applyFont="1" applyFill="1" applyBorder="1" applyAlignment="1" applyProtection="1">
      <alignment horizontal="center" vertical="center"/>
    </xf>
    <xf numFmtId="0" fontId="18" fillId="3" borderId="31" xfId="0" applyFont="1" applyFill="1" applyBorder="1" applyAlignment="1" applyProtection="1">
      <alignment horizontal="center" vertical="center" wrapText="1"/>
    </xf>
    <xf numFmtId="0" fontId="19" fillId="0" borderId="31" xfId="0" applyFont="1" applyFill="1" applyBorder="1" applyAlignment="1">
      <alignment horizontal="left" vertical="center" wrapText="1"/>
    </xf>
    <xf numFmtId="0" fontId="19" fillId="0" borderId="31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 wrapText="1"/>
    </xf>
    <xf numFmtId="0" fontId="19" fillId="0" borderId="31" xfId="0" applyFont="1" applyFill="1" applyBorder="1" applyAlignment="1" applyProtection="1">
      <alignment horizontal="left" vertical="center" wrapText="1"/>
      <protection locked="0"/>
    </xf>
    <xf numFmtId="0" fontId="19" fillId="0" borderId="31" xfId="0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>
      <alignment horizontal="left" vertical="center"/>
    </xf>
    <xf numFmtId="0" fontId="19" fillId="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 applyProtection="1">
      <alignment horizontal="center" vertical="center" wrapText="1"/>
      <protection locked="0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Excel Built-in Normal" xfId="49"/>
  </cellStyles>
  <dxfs count="2">
    <dxf>
      <fill>
        <patternFill patternType="solid">
          <bgColor rgb="FFFF9900"/>
        </patternFill>
      </fill>
    </dxf>
    <dxf>
      <font>
        <color theme="0" tint="-0.25"/>
      </font>
    </dxf>
  </dxfs>
  <tableStyles count="0" defaultTableStyle="TableStyleMedium2" defaultPivotStyle="PivotStyleLight16"/>
  <colors>
    <mruColors>
      <color rgb="0070AD4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Drop" dx="16" fmlaLink="$I$1" fmlaRange="$I$4:$I$6" noThreeD="1" page="3" sel="1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0</xdr:row>
          <xdr:rowOff>88900</xdr:rowOff>
        </xdr:from>
        <xdr:to>
          <xdr:col>2</xdr:col>
          <xdr:colOff>0</xdr:colOff>
          <xdr:row>0</xdr:row>
          <xdr:rowOff>323850</xdr:rowOff>
        </xdr:to>
        <xdr:sp macro="[0]!下拉框1_更改">
          <xdr:nvSpPr>
            <xdr:cNvPr id="551943" name="下拉框1" hidden="1">
              <a:extLst>
                <a:ext uri="{63B3BB69-23CF-44E3-9099-C40C66FF867C}">
                  <a14:compatExt spid="_x0000_s551943"/>
                </a:ext>
              </a:extLst>
            </xdr:cNvPr>
            <xdr:cNvSpPr/>
          </xdr:nvSpPr>
          <xdr:spPr>
            <a:xfrm>
              <a:off x="1741170" y="88900"/>
              <a:ext cx="208153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3304540" y="26403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6305" name="Button 1" hidden="1">
              <a:extLst>
                <a:ext uri="{63B3BB69-23CF-44E3-9099-C40C66FF867C}">
                  <a14:compatExt spid="_x0000_s866305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7329" name="Button 1" hidden="1">
              <a:extLst>
                <a:ext uri="{63B3BB69-23CF-44E3-9099-C40C66FF867C}">
                  <a14:compatExt spid="_x0000_s867329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0</xdr:rowOff>
        </xdr:from>
        <xdr:to>
          <xdr:col>5</xdr:col>
          <xdr:colOff>0</xdr:colOff>
          <xdr:row>9</xdr:row>
          <xdr:rowOff>19050</xdr:rowOff>
        </xdr:to>
        <xdr:sp macro="[0]!按钮2_Click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3001645" y="3371215"/>
              <a:ext cx="986155" cy="3238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添加工作票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837565</xdr:colOff>
          <xdr:row>7</xdr:row>
          <xdr:rowOff>285115</xdr:rowOff>
        </xdr:to>
        <xdr:sp macro="[0]!按钮1_Click">
          <xdr:nvSpPr>
            <xdr:cNvPr id="865281" name="Button 1" hidden="1">
              <a:extLst>
                <a:ext uri="{63B3BB69-23CF-44E3-9099-C40C66FF867C}">
                  <a14:compatExt spid="_x0000_s865281"/>
                </a:ext>
              </a:extLst>
            </xdr:cNvPr>
            <xdr:cNvSpPr/>
          </xdr:nvSpPr>
          <xdr:spPr>
            <a:xfrm>
              <a:off x="3304540" y="3288030"/>
              <a:ext cx="723265" cy="247015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>
    <tabColor theme="4" tint="0.399975585192419"/>
  </sheetPr>
  <dimension ref="A1:C201"/>
  <sheetViews>
    <sheetView workbookViewId="0">
      <selection activeCell="A34" sqref="A34"/>
    </sheetView>
  </sheetViews>
  <sheetFormatPr defaultColWidth="9" defaultRowHeight="15" outlineLevelCol="2"/>
  <cols>
    <col min="1" max="1" width="75" style="161" customWidth="1"/>
    <col min="2" max="2" width="17.25" style="161" customWidth="1"/>
    <col min="3" max="3" width="15.6666666666667" style="161" customWidth="1"/>
    <col min="4" max="16384" width="9" style="161"/>
  </cols>
  <sheetData>
    <row r="1" s="161" customFormat="1" ht="17.4" spans="1:3">
      <c r="A1" s="162" t="s">
        <v>0</v>
      </c>
      <c r="B1" s="163" t="s">
        <v>1</v>
      </c>
      <c r="C1" s="163" t="s">
        <v>2</v>
      </c>
    </row>
    <row r="2" ht="15.6" hidden="1" spans="1:3">
      <c r="A2" s="164" t="s">
        <v>3</v>
      </c>
      <c r="B2" s="165">
        <v>75</v>
      </c>
      <c r="C2" s="166" t="s">
        <v>4</v>
      </c>
    </row>
    <row r="3" ht="15.6" spans="1:3">
      <c r="A3" s="167" t="s">
        <v>5</v>
      </c>
      <c r="B3" s="168">
        <v>20</v>
      </c>
      <c r="C3" s="168" t="s">
        <v>6</v>
      </c>
    </row>
    <row r="4" ht="15.6" spans="1:3">
      <c r="A4" s="167" t="s">
        <v>7</v>
      </c>
      <c r="B4" s="168">
        <v>20</v>
      </c>
      <c r="C4" s="168" t="s">
        <v>6</v>
      </c>
    </row>
    <row r="5" ht="15.6" spans="1:3">
      <c r="A5" s="167" t="s">
        <v>8</v>
      </c>
      <c r="B5" s="168">
        <v>20</v>
      </c>
      <c r="C5" s="168" t="s">
        <v>6</v>
      </c>
    </row>
    <row r="6" ht="15.6" hidden="1" spans="1:3">
      <c r="A6" s="167" t="s">
        <v>9</v>
      </c>
      <c r="B6" s="168">
        <v>20</v>
      </c>
      <c r="C6" s="168" t="s">
        <v>6</v>
      </c>
    </row>
    <row r="7" ht="15.6" spans="1:3">
      <c r="A7" s="167" t="s">
        <v>10</v>
      </c>
      <c r="B7" s="168">
        <v>20</v>
      </c>
      <c r="C7" s="168" t="s">
        <v>6</v>
      </c>
    </row>
    <row r="8" ht="15.6" hidden="1" spans="1:3">
      <c r="A8" s="167" t="s">
        <v>11</v>
      </c>
      <c r="B8" s="168">
        <v>20</v>
      </c>
      <c r="C8" s="168" t="s">
        <v>6</v>
      </c>
    </row>
    <row r="9" ht="15.6" spans="1:3">
      <c r="A9" s="167" t="s">
        <v>12</v>
      </c>
      <c r="B9" s="168">
        <v>20</v>
      </c>
      <c r="C9" s="168" t="s">
        <v>6</v>
      </c>
    </row>
    <row r="10" ht="15.6" hidden="1" spans="1:3">
      <c r="A10" s="167" t="s">
        <v>13</v>
      </c>
      <c r="B10" s="168">
        <v>20</v>
      </c>
      <c r="C10" s="168" t="s">
        <v>6</v>
      </c>
    </row>
    <row r="11" ht="15.6" hidden="1" spans="1:3">
      <c r="A11" s="167" t="s">
        <v>14</v>
      </c>
      <c r="B11" s="168">
        <v>20</v>
      </c>
      <c r="C11" s="168" t="s">
        <v>6</v>
      </c>
    </row>
    <row r="12" ht="15.6" hidden="1" spans="1:3">
      <c r="A12" s="167" t="s">
        <v>15</v>
      </c>
      <c r="B12" s="168">
        <v>35</v>
      </c>
      <c r="C12" s="168" t="s">
        <v>6</v>
      </c>
    </row>
    <row r="13" ht="15.6" spans="1:3">
      <c r="A13" s="164" t="s">
        <v>16</v>
      </c>
      <c r="B13" s="168">
        <v>30</v>
      </c>
      <c r="C13" s="168" t="s">
        <v>6</v>
      </c>
    </row>
    <row r="14" ht="15.6" spans="1:3">
      <c r="A14" s="167" t="s">
        <v>17</v>
      </c>
      <c r="B14" s="168">
        <v>20</v>
      </c>
      <c r="C14" s="168" t="s">
        <v>6</v>
      </c>
    </row>
    <row r="15" ht="15.6" hidden="1" spans="1:3">
      <c r="A15" s="167" t="s">
        <v>18</v>
      </c>
      <c r="B15" s="168">
        <v>20</v>
      </c>
      <c r="C15" s="168" t="s">
        <v>6</v>
      </c>
    </row>
    <row r="16" ht="15.6" hidden="1" spans="1:3">
      <c r="A16" s="167" t="s">
        <v>19</v>
      </c>
      <c r="B16" s="168">
        <v>20</v>
      </c>
      <c r="C16" s="168" t="s">
        <v>6</v>
      </c>
    </row>
    <row r="17" ht="15.6" hidden="1" spans="1:3">
      <c r="A17" s="164" t="s">
        <v>20</v>
      </c>
      <c r="B17" s="168">
        <v>20</v>
      </c>
      <c r="C17" s="168" t="s">
        <v>6</v>
      </c>
    </row>
    <row r="18" ht="15.6" hidden="1" spans="1:3">
      <c r="A18" s="167" t="s">
        <v>21</v>
      </c>
      <c r="B18" s="168">
        <v>30</v>
      </c>
      <c r="C18" s="168" t="s">
        <v>6</v>
      </c>
    </row>
    <row r="19" ht="15.6" hidden="1" spans="1:3">
      <c r="A19" s="167" t="s">
        <v>22</v>
      </c>
      <c r="B19" s="168">
        <v>30</v>
      </c>
      <c r="C19" s="168" t="s">
        <v>6</v>
      </c>
    </row>
    <row r="20" ht="15.6" hidden="1" spans="1:3">
      <c r="A20" s="167" t="s">
        <v>23</v>
      </c>
      <c r="B20" s="168">
        <v>30</v>
      </c>
      <c r="C20" s="168" t="s">
        <v>6</v>
      </c>
    </row>
    <row r="21" ht="15.6" hidden="1" spans="1:3">
      <c r="A21" s="167" t="s">
        <v>24</v>
      </c>
      <c r="B21" s="168">
        <v>30</v>
      </c>
      <c r="C21" s="168" t="s">
        <v>6</v>
      </c>
    </row>
    <row r="22" ht="15.6" hidden="1" spans="1:3">
      <c r="A22" s="164" t="s">
        <v>25</v>
      </c>
      <c r="B22" s="168">
        <v>30</v>
      </c>
      <c r="C22" s="168" t="s">
        <v>6</v>
      </c>
    </row>
    <row r="23" ht="15.6" hidden="1" spans="1:3">
      <c r="A23" s="167" t="s">
        <v>26</v>
      </c>
      <c r="B23" s="168">
        <v>15</v>
      </c>
      <c r="C23" s="166" t="s">
        <v>27</v>
      </c>
    </row>
    <row r="24" ht="15.6" hidden="1" spans="1:3">
      <c r="A24" s="167" t="s">
        <v>28</v>
      </c>
      <c r="B24" s="168">
        <v>8</v>
      </c>
      <c r="C24" s="166" t="s">
        <v>27</v>
      </c>
    </row>
    <row r="25" ht="15.6" hidden="1" spans="1:3">
      <c r="A25" s="167" t="s">
        <v>29</v>
      </c>
      <c r="B25" s="168">
        <v>8</v>
      </c>
      <c r="C25" s="166" t="s">
        <v>27</v>
      </c>
    </row>
    <row r="26" ht="15.6" hidden="1" spans="1:3">
      <c r="A26" s="167" t="s">
        <v>30</v>
      </c>
      <c r="B26" s="168">
        <v>15</v>
      </c>
      <c r="C26" s="166" t="s">
        <v>27</v>
      </c>
    </row>
    <row r="27" ht="15.6" hidden="1" spans="1:3">
      <c r="A27" s="167" t="s">
        <v>31</v>
      </c>
      <c r="B27" s="168">
        <v>8</v>
      </c>
      <c r="C27" s="166" t="s">
        <v>27</v>
      </c>
    </row>
    <row r="28" ht="15.6" hidden="1" spans="1:3">
      <c r="A28" s="167" t="s">
        <v>32</v>
      </c>
      <c r="B28" s="168">
        <v>8</v>
      </c>
      <c r="C28" s="166" t="s">
        <v>27</v>
      </c>
    </row>
    <row r="29" ht="15.6" hidden="1" spans="1:3">
      <c r="A29" s="167" t="s">
        <v>33</v>
      </c>
      <c r="B29" s="168">
        <v>8</v>
      </c>
      <c r="C29" s="166" t="s">
        <v>27</v>
      </c>
    </row>
    <row r="30" ht="15.6" hidden="1" spans="1:3">
      <c r="A30" s="164" t="s">
        <v>34</v>
      </c>
      <c r="B30" s="168">
        <v>8</v>
      </c>
      <c r="C30" s="166" t="s">
        <v>27</v>
      </c>
    </row>
    <row r="31" ht="15.6" hidden="1" spans="1:3">
      <c r="A31" s="167" t="s">
        <v>35</v>
      </c>
      <c r="B31" s="168">
        <v>7</v>
      </c>
      <c r="C31" s="166" t="s">
        <v>27</v>
      </c>
    </row>
    <row r="32" ht="15.6" hidden="1" spans="1:3">
      <c r="A32" s="169" t="s">
        <v>36</v>
      </c>
      <c r="B32" s="168">
        <v>20</v>
      </c>
      <c r="C32" s="168" t="s">
        <v>6</v>
      </c>
    </row>
    <row r="33" ht="15.6" hidden="1" spans="1:3">
      <c r="A33" s="169" t="s">
        <v>37</v>
      </c>
      <c r="B33" s="168">
        <v>20</v>
      </c>
      <c r="C33" s="168" t="s">
        <v>6</v>
      </c>
    </row>
    <row r="34" ht="15.6" spans="1:3">
      <c r="A34" s="164" t="s">
        <v>38</v>
      </c>
      <c r="B34" s="168">
        <v>5</v>
      </c>
      <c r="C34" s="166" t="s">
        <v>27</v>
      </c>
    </row>
    <row r="35" ht="15.6" hidden="1" spans="1:3">
      <c r="A35" s="164" t="s">
        <v>39</v>
      </c>
      <c r="B35" s="168">
        <v>20</v>
      </c>
      <c r="C35" s="168" t="s">
        <v>6</v>
      </c>
    </row>
    <row r="36" ht="15.6" hidden="1" spans="1:3">
      <c r="A36" s="164" t="s">
        <v>40</v>
      </c>
      <c r="B36" s="168">
        <v>20</v>
      </c>
      <c r="C36" s="168" t="s">
        <v>6</v>
      </c>
    </row>
    <row r="37" ht="15.6" hidden="1" spans="1:3">
      <c r="A37" s="167" t="s">
        <v>41</v>
      </c>
      <c r="B37" s="170">
        <v>20</v>
      </c>
      <c r="C37" s="168" t="s">
        <v>6</v>
      </c>
    </row>
    <row r="38" ht="15.6" hidden="1" spans="1:3">
      <c r="A38" s="164" t="s">
        <v>42</v>
      </c>
      <c r="B38" s="168">
        <v>20</v>
      </c>
      <c r="C38" s="168" t="s">
        <v>6</v>
      </c>
    </row>
    <row r="39" ht="15.6" hidden="1" spans="1:3">
      <c r="A39" s="164" t="s">
        <v>43</v>
      </c>
      <c r="B39" s="168">
        <v>20</v>
      </c>
      <c r="C39" s="168" t="s">
        <v>6</v>
      </c>
    </row>
    <row r="40" ht="15.6" hidden="1" spans="1:3">
      <c r="A40" s="164" t="s">
        <v>44</v>
      </c>
      <c r="B40" s="168">
        <v>15</v>
      </c>
      <c r="C40" s="166" t="s">
        <v>27</v>
      </c>
    </row>
    <row r="41" ht="15.6" spans="1:3">
      <c r="A41" s="164" t="s">
        <v>45</v>
      </c>
      <c r="B41" s="165">
        <v>30</v>
      </c>
      <c r="C41" s="166" t="s">
        <v>6</v>
      </c>
    </row>
    <row r="42" ht="15.6" spans="1:3">
      <c r="A42" s="164" t="s">
        <v>46</v>
      </c>
      <c r="B42" s="166">
        <v>20</v>
      </c>
      <c r="C42" s="166" t="s">
        <v>6</v>
      </c>
    </row>
    <row r="43" ht="15.6" hidden="1" spans="1:3">
      <c r="A43" s="164" t="s">
        <v>47</v>
      </c>
      <c r="B43" s="168">
        <v>5</v>
      </c>
      <c r="C43" s="166" t="s">
        <v>27</v>
      </c>
    </row>
    <row r="44" ht="15.6" spans="1:3">
      <c r="A44" s="164" t="s">
        <v>48</v>
      </c>
      <c r="B44" s="166">
        <v>20</v>
      </c>
      <c r="C44" s="166" t="s">
        <v>6</v>
      </c>
    </row>
    <row r="45" ht="15.6" spans="1:3">
      <c r="A45" s="164" t="s">
        <v>49</v>
      </c>
      <c r="B45" s="166">
        <v>20</v>
      </c>
      <c r="C45" s="166" t="s">
        <v>6</v>
      </c>
    </row>
    <row r="46" ht="15.6" hidden="1" spans="1:3">
      <c r="A46" s="164" t="s">
        <v>50</v>
      </c>
      <c r="B46" s="168">
        <v>5</v>
      </c>
      <c r="C46" s="166" t="s">
        <v>27</v>
      </c>
    </row>
    <row r="47" ht="15.6" hidden="1" spans="1:3">
      <c r="A47" s="164" t="s">
        <v>51</v>
      </c>
      <c r="B47" s="168">
        <v>5</v>
      </c>
      <c r="C47" s="166" t="s">
        <v>27</v>
      </c>
    </row>
    <row r="48" ht="15.6" hidden="1" spans="1:3">
      <c r="A48" s="164" t="s">
        <v>52</v>
      </c>
      <c r="B48" s="168">
        <v>7</v>
      </c>
      <c r="C48" s="166" t="s">
        <v>27</v>
      </c>
    </row>
    <row r="49" ht="15.6" hidden="1" spans="1:3">
      <c r="A49" s="164" t="s">
        <v>53</v>
      </c>
      <c r="B49" s="168">
        <v>5</v>
      </c>
      <c r="C49" s="168" t="s">
        <v>27</v>
      </c>
    </row>
    <row r="50" ht="15.6" hidden="1" spans="1:3">
      <c r="A50" s="164" t="s">
        <v>54</v>
      </c>
      <c r="B50" s="166">
        <v>12</v>
      </c>
      <c r="C50" s="166" t="s">
        <v>27</v>
      </c>
    </row>
    <row r="51" ht="15.6" hidden="1" spans="1:3">
      <c r="A51" s="164" t="s">
        <v>55</v>
      </c>
      <c r="B51" s="168">
        <v>5</v>
      </c>
      <c r="C51" s="166" t="s">
        <v>27</v>
      </c>
    </row>
    <row r="52" ht="15.6" hidden="1" spans="1:3">
      <c r="A52" s="164" t="s">
        <v>56</v>
      </c>
      <c r="B52" s="166">
        <v>30</v>
      </c>
      <c r="C52" s="166" t="s">
        <v>6</v>
      </c>
    </row>
    <row r="53" ht="15.6" hidden="1" spans="1:3">
      <c r="A53" s="164" t="s">
        <v>57</v>
      </c>
      <c r="B53" s="168">
        <v>5</v>
      </c>
      <c r="C53" s="166" t="s">
        <v>27</v>
      </c>
    </row>
    <row r="54" ht="15.6" hidden="1" spans="1:3">
      <c r="A54" s="164" t="s">
        <v>58</v>
      </c>
      <c r="B54" s="166">
        <v>12</v>
      </c>
      <c r="C54" s="166" t="s">
        <v>27</v>
      </c>
    </row>
    <row r="55" ht="15.6" hidden="1" spans="1:3">
      <c r="A55" s="164" t="s">
        <v>59</v>
      </c>
      <c r="B55" s="166">
        <v>10</v>
      </c>
      <c r="C55" s="166" t="s">
        <v>27</v>
      </c>
    </row>
    <row r="56" ht="15.6" hidden="1" spans="1:3">
      <c r="A56" s="164" t="s">
        <v>60</v>
      </c>
      <c r="B56" s="168">
        <v>12</v>
      </c>
      <c r="C56" s="166" t="s">
        <v>27</v>
      </c>
    </row>
    <row r="57" ht="15.6" hidden="1" spans="1:3">
      <c r="A57" s="167" t="s">
        <v>61</v>
      </c>
      <c r="B57" s="168">
        <v>35</v>
      </c>
      <c r="C57" s="168" t="s">
        <v>6</v>
      </c>
    </row>
    <row r="58" ht="15.6" spans="1:3">
      <c r="A58" s="167" t="s">
        <v>62</v>
      </c>
      <c r="B58" s="168">
        <v>20</v>
      </c>
      <c r="C58" s="168" t="s">
        <v>6</v>
      </c>
    </row>
    <row r="59" ht="15.6" spans="1:3">
      <c r="A59" s="167" t="s">
        <v>63</v>
      </c>
      <c r="B59" s="168">
        <v>20</v>
      </c>
      <c r="C59" s="168" t="s">
        <v>6</v>
      </c>
    </row>
    <row r="60" ht="15.6" hidden="1" spans="1:3">
      <c r="A60" s="167" t="s">
        <v>64</v>
      </c>
      <c r="B60" s="168">
        <v>20</v>
      </c>
      <c r="C60" s="168" t="s">
        <v>6</v>
      </c>
    </row>
    <row r="61" ht="15.6" hidden="1" spans="1:3">
      <c r="A61" s="167" t="s">
        <v>65</v>
      </c>
      <c r="B61" s="168">
        <v>20</v>
      </c>
      <c r="C61" s="168" t="s">
        <v>6</v>
      </c>
    </row>
    <row r="62" ht="15.6" hidden="1" spans="1:3">
      <c r="A62" s="167" t="s">
        <v>66</v>
      </c>
      <c r="B62" s="168">
        <v>8</v>
      </c>
      <c r="C62" s="166" t="s">
        <v>27</v>
      </c>
    </row>
    <row r="63" ht="15.6" hidden="1" spans="1:3">
      <c r="A63" s="167" t="s">
        <v>67</v>
      </c>
      <c r="B63" s="168">
        <v>8</v>
      </c>
      <c r="C63" s="166" t="s">
        <v>27</v>
      </c>
    </row>
    <row r="64" ht="15.6" hidden="1" spans="1:3">
      <c r="A64" s="164" t="s">
        <v>68</v>
      </c>
      <c r="B64" s="165">
        <v>75</v>
      </c>
      <c r="C64" s="166" t="s">
        <v>4</v>
      </c>
    </row>
    <row r="65" ht="15.6" hidden="1" spans="1:3">
      <c r="A65" s="164" t="s">
        <v>69</v>
      </c>
      <c r="B65" s="168">
        <v>25</v>
      </c>
      <c r="C65" s="168" t="s">
        <v>6</v>
      </c>
    </row>
    <row r="66" ht="15.6" spans="1:3">
      <c r="A66" s="167" t="s">
        <v>70</v>
      </c>
      <c r="B66" s="168">
        <v>8</v>
      </c>
      <c r="C66" s="166" t="s">
        <v>27</v>
      </c>
    </row>
    <row r="67" ht="15.6" spans="1:3">
      <c r="A67" s="167" t="s">
        <v>71</v>
      </c>
      <c r="B67" s="168">
        <v>8</v>
      </c>
      <c r="C67" s="166" t="s">
        <v>27</v>
      </c>
    </row>
    <row r="68" ht="15.6" spans="1:3">
      <c r="A68" s="167" t="s">
        <v>72</v>
      </c>
      <c r="B68" s="168">
        <v>8</v>
      </c>
      <c r="C68" s="166" t="s">
        <v>27</v>
      </c>
    </row>
    <row r="69" ht="15.6" spans="1:3">
      <c r="A69" s="167" t="s">
        <v>73</v>
      </c>
      <c r="B69" s="168">
        <v>8</v>
      </c>
      <c r="C69" s="166" t="s">
        <v>27</v>
      </c>
    </row>
    <row r="70" ht="15.6" hidden="1" spans="1:3">
      <c r="A70" s="167" t="s">
        <v>74</v>
      </c>
      <c r="B70" s="168">
        <v>8</v>
      </c>
      <c r="C70" s="166" t="s">
        <v>27</v>
      </c>
    </row>
    <row r="71" ht="15.6" hidden="1" spans="1:3">
      <c r="A71" s="167" t="s">
        <v>75</v>
      </c>
      <c r="B71" s="168">
        <v>7</v>
      </c>
      <c r="C71" s="166" t="s">
        <v>27</v>
      </c>
    </row>
    <row r="72" ht="15.6" hidden="1" spans="1:3">
      <c r="A72" s="167" t="s">
        <v>76</v>
      </c>
      <c r="B72" s="168">
        <v>8</v>
      </c>
      <c r="C72" s="166" t="s">
        <v>27</v>
      </c>
    </row>
    <row r="73" ht="15.6" hidden="1" spans="1:3">
      <c r="A73" s="164" t="s">
        <v>77</v>
      </c>
      <c r="B73" s="168">
        <v>8</v>
      </c>
      <c r="C73" s="166" t="s">
        <v>27</v>
      </c>
    </row>
    <row r="74" ht="15.6" hidden="1" spans="1:3">
      <c r="A74" s="164" t="s">
        <v>78</v>
      </c>
      <c r="B74" s="168">
        <v>8</v>
      </c>
      <c r="C74" s="166" t="s">
        <v>27</v>
      </c>
    </row>
    <row r="75" ht="15.6" hidden="1" spans="1:3">
      <c r="A75" s="164" t="s">
        <v>79</v>
      </c>
      <c r="B75" s="168">
        <v>8</v>
      </c>
      <c r="C75" s="166" t="s">
        <v>27</v>
      </c>
    </row>
    <row r="76" ht="15.6" hidden="1" spans="1:3">
      <c r="A76" s="169" t="s">
        <v>80</v>
      </c>
      <c r="B76" s="168">
        <v>5</v>
      </c>
      <c r="C76" s="166" t="s">
        <v>27</v>
      </c>
    </row>
    <row r="77" ht="15.6" hidden="1" spans="1:3">
      <c r="A77" s="164" t="s">
        <v>81</v>
      </c>
      <c r="B77" s="168">
        <v>20</v>
      </c>
      <c r="C77" s="168" t="s">
        <v>6</v>
      </c>
    </row>
    <row r="78" ht="15.6" hidden="1" spans="1:3">
      <c r="A78" s="164" t="s">
        <v>82</v>
      </c>
      <c r="B78" s="168">
        <v>20</v>
      </c>
      <c r="C78" s="168" t="s">
        <v>6</v>
      </c>
    </row>
    <row r="79" ht="15.6" hidden="1" spans="1:3">
      <c r="A79" s="164" t="s">
        <v>83</v>
      </c>
      <c r="B79" s="166">
        <v>30</v>
      </c>
      <c r="C79" s="166" t="s">
        <v>6</v>
      </c>
    </row>
    <row r="80" ht="15.6" hidden="1" spans="1:3">
      <c r="A80" s="164" t="s">
        <v>84</v>
      </c>
      <c r="B80" s="168">
        <v>50</v>
      </c>
      <c r="C80" s="166" t="s">
        <v>6</v>
      </c>
    </row>
    <row r="81" ht="15.6" hidden="1" spans="1:3">
      <c r="A81" s="164" t="s">
        <v>85</v>
      </c>
      <c r="B81" s="166">
        <v>30</v>
      </c>
      <c r="C81" s="166" t="s">
        <v>6</v>
      </c>
    </row>
    <row r="82" ht="15.6" hidden="1" spans="1:3">
      <c r="A82" s="164" t="s">
        <v>86</v>
      </c>
      <c r="B82" s="166">
        <v>30</v>
      </c>
      <c r="C82" s="166" t="s">
        <v>6</v>
      </c>
    </row>
    <row r="83" ht="15.6" hidden="1" spans="1:3">
      <c r="A83" s="169" t="s">
        <v>87</v>
      </c>
      <c r="B83" s="165">
        <v>10</v>
      </c>
      <c r="C83" s="168" t="s">
        <v>27</v>
      </c>
    </row>
    <row r="84" ht="15.6" hidden="1" spans="1:3">
      <c r="A84" s="164" t="s">
        <v>88</v>
      </c>
      <c r="B84" s="166">
        <v>25</v>
      </c>
      <c r="C84" s="166" t="s">
        <v>6</v>
      </c>
    </row>
    <row r="85" ht="15.6" hidden="1" spans="1:3">
      <c r="A85" s="169" t="s">
        <v>89</v>
      </c>
      <c r="B85" s="165">
        <v>10</v>
      </c>
      <c r="C85" s="168" t="s">
        <v>27</v>
      </c>
    </row>
    <row r="86" ht="15.6" hidden="1" spans="1:3">
      <c r="A86" s="164" t="s">
        <v>90</v>
      </c>
      <c r="B86" s="168">
        <v>3</v>
      </c>
      <c r="C86" s="166" t="s">
        <v>27</v>
      </c>
    </row>
    <row r="87" ht="15.6" hidden="1" spans="1:3">
      <c r="A87" s="164" t="s">
        <v>91</v>
      </c>
      <c r="B87" s="168">
        <v>5</v>
      </c>
      <c r="C87" s="166" t="s">
        <v>27</v>
      </c>
    </row>
    <row r="88" ht="15.6" hidden="1" spans="1:3">
      <c r="A88" s="164" t="s">
        <v>92</v>
      </c>
      <c r="B88" s="166">
        <v>50</v>
      </c>
      <c r="C88" s="166" t="s">
        <v>6</v>
      </c>
    </row>
    <row r="89" ht="15.6" hidden="1" spans="1:3">
      <c r="A89" s="164" t="s">
        <v>93</v>
      </c>
      <c r="B89" s="168">
        <v>20</v>
      </c>
      <c r="C89" s="168" t="s">
        <v>6</v>
      </c>
    </row>
    <row r="90" ht="15.6" spans="1:3">
      <c r="A90" s="169" t="s">
        <v>94</v>
      </c>
      <c r="B90" s="165">
        <v>25</v>
      </c>
      <c r="C90" s="168" t="s">
        <v>6</v>
      </c>
    </row>
    <row r="91" ht="15.6" spans="1:3">
      <c r="A91" s="169" t="s">
        <v>95</v>
      </c>
      <c r="B91" s="165">
        <v>25</v>
      </c>
      <c r="C91" s="168" t="s">
        <v>6</v>
      </c>
    </row>
    <row r="92" ht="15.6" spans="1:3">
      <c r="A92" s="164" t="s">
        <v>96</v>
      </c>
      <c r="B92" s="165">
        <v>25</v>
      </c>
      <c r="C92" s="165" t="s">
        <v>6</v>
      </c>
    </row>
    <row r="93" ht="15.6" spans="1:3">
      <c r="A93" s="164" t="s">
        <v>97</v>
      </c>
      <c r="B93" s="166">
        <v>20</v>
      </c>
      <c r="C93" s="166" t="s">
        <v>6</v>
      </c>
    </row>
    <row r="94" ht="15.6" spans="1:3">
      <c r="A94" s="164" t="s">
        <v>98</v>
      </c>
      <c r="B94" s="168">
        <v>20</v>
      </c>
      <c r="C94" s="168" t="s">
        <v>6</v>
      </c>
    </row>
    <row r="95" ht="15.6" hidden="1" spans="1:3">
      <c r="A95" s="164" t="s">
        <v>99</v>
      </c>
      <c r="B95" s="168">
        <v>5</v>
      </c>
      <c r="C95" s="166" t="s">
        <v>27</v>
      </c>
    </row>
    <row r="96" ht="15.6" hidden="1" spans="1:3">
      <c r="A96" s="164" t="s">
        <v>100</v>
      </c>
      <c r="B96" s="168">
        <v>5</v>
      </c>
      <c r="C96" s="166" t="s">
        <v>27</v>
      </c>
    </row>
    <row r="97" ht="15.6" hidden="1" spans="1:3">
      <c r="A97" s="164" t="s">
        <v>101</v>
      </c>
      <c r="B97" s="168">
        <v>3</v>
      </c>
      <c r="C97" s="166" t="s">
        <v>27</v>
      </c>
    </row>
    <row r="98" ht="15.6" spans="1:3">
      <c r="A98" s="164" t="s">
        <v>102</v>
      </c>
      <c r="B98" s="166">
        <v>25</v>
      </c>
      <c r="C98" s="166" t="s">
        <v>6</v>
      </c>
    </row>
    <row r="99" ht="15.6" hidden="1" spans="1:3">
      <c r="A99" s="164" t="s">
        <v>103</v>
      </c>
      <c r="B99" s="168">
        <v>5</v>
      </c>
      <c r="C99" s="166" t="s">
        <v>27</v>
      </c>
    </row>
    <row r="100" ht="15.6" hidden="1" spans="1:3">
      <c r="A100" s="164" t="s">
        <v>104</v>
      </c>
      <c r="B100" s="168">
        <v>25</v>
      </c>
      <c r="C100" s="166" t="s">
        <v>6</v>
      </c>
    </row>
    <row r="101" ht="15.6" hidden="1" spans="1:3">
      <c r="A101" s="164" t="s">
        <v>105</v>
      </c>
      <c r="B101" s="166">
        <v>25</v>
      </c>
      <c r="C101" s="166" t="s">
        <v>6</v>
      </c>
    </row>
    <row r="102" ht="31.2" hidden="1" spans="1:3">
      <c r="A102" s="164" t="s">
        <v>106</v>
      </c>
      <c r="B102" s="168">
        <v>5</v>
      </c>
      <c r="C102" s="165" t="s">
        <v>27</v>
      </c>
    </row>
    <row r="103" ht="15.6" hidden="1" spans="1:3">
      <c r="A103" s="169" t="s">
        <v>107</v>
      </c>
      <c r="B103" s="168">
        <v>5</v>
      </c>
      <c r="C103" s="166" t="s">
        <v>27</v>
      </c>
    </row>
    <row r="104" ht="15.6" hidden="1" spans="1:3">
      <c r="A104" s="164" t="s">
        <v>108</v>
      </c>
      <c r="B104" s="168">
        <v>5</v>
      </c>
      <c r="C104" s="166" t="s">
        <v>27</v>
      </c>
    </row>
    <row r="105" ht="15.6" hidden="1" spans="1:3">
      <c r="A105" s="164" t="s">
        <v>109</v>
      </c>
      <c r="B105" s="168">
        <v>3</v>
      </c>
      <c r="C105" s="166" t="s">
        <v>27</v>
      </c>
    </row>
    <row r="106" ht="15.6" hidden="1" spans="1:3">
      <c r="A106" s="164" t="s">
        <v>110</v>
      </c>
      <c r="B106" s="166">
        <v>25</v>
      </c>
      <c r="C106" s="166" t="s">
        <v>6</v>
      </c>
    </row>
    <row r="107" ht="15.6" hidden="1" spans="1:3">
      <c r="A107" s="164" t="s">
        <v>111</v>
      </c>
      <c r="B107" s="166">
        <v>25</v>
      </c>
      <c r="C107" s="168" t="s">
        <v>6</v>
      </c>
    </row>
    <row r="108" ht="15.6" hidden="1" spans="1:3">
      <c r="A108" s="164" t="s">
        <v>112</v>
      </c>
      <c r="B108" s="168">
        <v>7</v>
      </c>
      <c r="C108" s="166" t="s">
        <v>27</v>
      </c>
    </row>
    <row r="109" ht="15.6" hidden="1" spans="1:3">
      <c r="A109" s="164" t="s">
        <v>113</v>
      </c>
      <c r="B109" s="165">
        <v>30</v>
      </c>
      <c r="C109" s="165" t="s">
        <v>6</v>
      </c>
    </row>
    <row r="110" ht="15.6" hidden="1" spans="1:3">
      <c r="A110" s="164" t="s">
        <v>114</v>
      </c>
      <c r="B110" s="165">
        <v>200</v>
      </c>
      <c r="C110" s="165" t="s">
        <v>115</v>
      </c>
    </row>
    <row r="111" ht="31.2" hidden="1" spans="1:3">
      <c r="A111" s="164" t="s">
        <v>116</v>
      </c>
      <c r="B111" s="165">
        <v>200</v>
      </c>
      <c r="C111" s="166" t="s">
        <v>115</v>
      </c>
    </row>
    <row r="112" ht="15.6" hidden="1" spans="1:3">
      <c r="A112" s="164" t="s">
        <v>117</v>
      </c>
      <c r="B112" s="165">
        <v>25</v>
      </c>
      <c r="C112" s="165" t="s">
        <v>6</v>
      </c>
    </row>
    <row r="113" ht="15.6" hidden="1" spans="1:3">
      <c r="A113" s="164" t="s">
        <v>118</v>
      </c>
      <c r="B113" s="165">
        <v>70</v>
      </c>
      <c r="C113" s="166" t="s">
        <v>4</v>
      </c>
    </row>
    <row r="114" ht="31.2" hidden="1" spans="1:3">
      <c r="A114" s="164" t="s">
        <v>119</v>
      </c>
      <c r="B114" s="165">
        <v>250</v>
      </c>
      <c r="C114" s="166" t="s">
        <v>115</v>
      </c>
    </row>
    <row r="115" ht="15.6" hidden="1" spans="1:3">
      <c r="A115" s="164" t="s">
        <v>120</v>
      </c>
      <c r="B115" s="165">
        <v>75</v>
      </c>
      <c r="C115" s="166" t="s">
        <v>4</v>
      </c>
    </row>
    <row r="116" ht="15.6" hidden="1" spans="1:3">
      <c r="A116" s="164" t="s">
        <v>121</v>
      </c>
      <c r="B116" s="165">
        <v>75</v>
      </c>
      <c r="C116" s="166" t="s">
        <v>4</v>
      </c>
    </row>
    <row r="117" ht="15.6" hidden="1" spans="1:3">
      <c r="A117" s="164" t="s">
        <v>122</v>
      </c>
      <c r="B117" s="165">
        <v>70</v>
      </c>
      <c r="C117" s="166" t="s">
        <v>4</v>
      </c>
    </row>
    <row r="118" ht="15.6" hidden="1" spans="1:3">
      <c r="A118" s="164" t="s">
        <v>123</v>
      </c>
      <c r="B118" s="165">
        <v>200</v>
      </c>
      <c r="C118" s="166" t="s">
        <v>115</v>
      </c>
    </row>
    <row r="119" ht="15.6" hidden="1" spans="1:3">
      <c r="A119" s="164" t="s">
        <v>124</v>
      </c>
      <c r="B119" s="165">
        <v>75</v>
      </c>
      <c r="C119" s="166" t="s">
        <v>4</v>
      </c>
    </row>
    <row r="120" ht="15.6" hidden="1" spans="1:3">
      <c r="A120" s="164" t="s">
        <v>125</v>
      </c>
      <c r="B120" s="165">
        <v>200</v>
      </c>
      <c r="C120" s="166" t="s">
        <v>115</v>
      </c>
    </row>
    <row r="121" ht="31.2" hidden="1" spans="1:3">
      <c r="A121" s="164" t="s">
        <v>126</v>
      </c>
      <c r="B121" s="165">
        <v>130</v>
      </c>
      <c r="C121" s="166" t="s">
        <v>4</v>
      </c>
    </row>
    <row r="122" ht="15.6" hidden="1" spans="1:3">
      <c r="A122" s="164" t="s">
        <v>127</v>
      </c>
      <c r="B122" s="165">
        <v>200</v>
      </c>
      <c r="C122" s="166" t="s">
        <v>115</v>
      </c>
    </row>
    <row r="123" ht="15.6" hidden="1" spans="1:3">
      <c r="A123" s="164" t="s">
        <v>128</v>
      </c>
      <c r="B123" s="165">
        <v>75</v>
      </c>
      <c r="C123" s="166" t="s">
        <v>4</v>
      </c>
    </row>
    <row r="124" ht="15.6" hidden="1" spans="1:3">
      <c r="A124" s="164" t="s">
        <v>129</v>
      </c>
      <c r="B124" s="165">
        <v>75</v>
      </c>
      <c r="C124" s="166" t="s">
        <v>4</v>
      </c>
    </row>
    <row r="125" ht="15.6" hidden="1" spans="1:3">
      <c r="A125" s="164" t="s">
        <v>130</v>
      </c>
      <c r="B125" s="165">
        <v>75</v>
      </c>
      <c r="C125" s="166" t="s">
        <v>4</v>
      </c>
    </row>
    <row r="126" ht="15.6" hidden="1" spans="1:3">
      <c r="A126" s="164" t="s">
        <v>131</v>
      </c>
      <c r="B126" s="165">
        <v>70</v>
      </c>
      <c r="C126" s="166" t="s">
        <v>4</v>
      </c>
    </row>
    <row r="127" ht="15.6" hidden="1" spans="1:3">
      <c r="A127" s="164" t="s">
        <v>132</v>
      </c>
      <c r="B127" s="165">
        <v>75</v>
      </c>
      <c r="C127" s="166" t="s">
        <v>4</v>
      </c>
    </row>
    <row r="128" ht="31.2" hidden="1" spans="1:3">
      <c r="A128" s="164" t="s">
        <v>133</v>
      </c>
      <c r="B128" s="165">
        <v>200</v>
      </c>
      <c r="C128" s="166" t="s">
        <v>115</v>
      </c>
    </row>
    <row r="129" ht="15.6" hidden="1" spans="1:3">
      <c r="A129" s="164" t="s">
        <v>134</v>
      </c>
      <c r="B129" s="165">
        <v>200</v>
      </c>
      <c r="C129" s="166" t="s">
        <v>115</v>
      </c>
    </row>
    <row r="130" ht="31.2" hidden="1" spans="1:3">
      <c r="A130" s="164" t="s">
        <v>135</v>
      </c>
      <c r="B130" s="165">
        <v>200</v>
      </c>
      <c r="C130" s="166" t="s">
        <v>115</v>
      </c>
    </row>
    <row r="131" ht="31.2" hidden="1" spans="1:3">
      <c r="A131" s="164" t="s">
        <v>136</v>
      </c>
      <c r="B131" s="165">
        <v>200</v>
      </c>
      <c r="C131" s="166" t="s">
        <v>115</v>
      </c>
    </row>
    <row r="132" ht="31.2" hidden="1" spans="1:3">
      <c r="A132" s="164" t="s">
        <v>137</v>
      </c>
      <c r="B132" s="165">
        <v>200</v>
      </c>
      <c r="C132" s="166" t="s">
        <v>115</v>
      </c>
    </row>
    <row r="133" ht="15.6" hidden="1" spans="1:3">
      <c r="A133" s="164" t="s">
        <v>138</v>
      </c>
      <c r="B133" s="165">
        <v>70</v>
      </c>
      <c r="C133" s="166" t="s">
        <v>4</v>
      </c>
    </row>
    <row r="134" ht="15.6" hidden="1" spans="1:3">
      <c r="A134" s="164" t="s">
        <v>139</v>
      </c>
      <c r="B134" s="165">
        <v>70</v>
      </c>
      <c r="C134" s="166" t="s">
        <v>4</v>
      </c>
    </row>
    <row r="135" ht="15.6" spans="1:3">
      <c r="A135" s="164" t="s">
        <v>140</v>
      </c>
      <c r="B135" s="165">
        <v>70</v>
      </c>
      <c r="C135" s="166" t="s">
        <v>4</v>
      </c>
    </row>
    <row r="136" ht="15.6" hidden="1" spans="1:3">
      <c r="A136" s="164" t="s">
        <v>141</v>
      </c>
      <c r="B136" s="165">
        <v>200</v>
      </c>
      <c r="C136" s="166" t="s">
        <v>115</v>
      </c>
    </row>
    <row r="137" ht="15.6" hidden="1" spans="1:3">
      <c r="A137" s="164" t="s">
        <v>142</v>
      </c>
      <c r="B137" s="165">
        <v>130</v>
      </c>
      <c r="C137" s="166" t="s">
        <v>4</v>
      </c>
    </row>
    <row r="138" ht="15.6" hidden="1" spans="1:3">
      <c r="A138" s="164" t="s">
        <v>143</v>
      </c>
      <c r="B138" s="165">
        <v>70</v>
      </c>
      <c r="C138" s="166" t="s">
        <v>4</v>
      </c>
    </row>
    <row r="139" ht="31.2" hidden="1" spans="1:3">
      <c r="A139" s="164" t="s">
        <v>144</v>
      </c>
      <c r="B139" s="165">
        <v>75</v>
      </c>
      <c r="C139" s="166" t="s">
        <v>4</v>
      </c>
    </row>
    <row r="140" ht="31.2" hidden="1" spans="1:3">
      <c r="A140" s="164" t="s">
        <v>145</v>
      </c>
      <c r="B140" s="165">
        <v>75</v>
      </c>
      <c r="C140" s="166" t="s">
        <v>4</v>
      </c>
    </row>
    <row r="141" ht="15.6" hidden="1" spans="1:3">
      <c r="A141" s="167" t="s">
        <v>146</v>
      </c>
      <c r="B141" s="168">
        <v>15</v>
      </c>
      <c r="C141" s="166" t="s">
        <v>27</v>
      </c>
    </row>
    <row r="142" ht="15.6" hidden="1" spans="1:3">
      <c r="A142" s="164" t="s">
        <v>147</v>
      </c>
      <c r="B142" s="168">
        <v>20</v>
      </c>
      <c r="C142" s="168" t="s">
        <v>6</v>
      </c>
    </row>
    <row r="143" ht="15.6" hidden="1" spans="1:3">
      <c r="A143" s="164" t="s">
        <v>148</v>
      </c>
      <c r="B143" s="168">
        <v>5</v>
      </c>
      <c r="C143" s="168" t="s">
        <v>27</v>
      </c>
    </row>
    <row r="144" ht="15.6" hidden="1" spans="1:3">
      <c r="A144" s="164" t="s">
        <v>149</v>
      </c>
      <c r="B144" s="165">
        <v>10</v>
      </c>
      <c r="C144" s="166" t="s">
        <v>27</v>
      </c>
    </row>
    <row r="145" ht="15.6" hidden="1" spans="1:3">
      <c r="A145" s="164" t="s">
        <v>150</v>
      </c>
      <c r="B145" s="166">
        <v>25</v>
      </c>
      <c r="C145" s="166" t="s">
        <v>6</v>
      </c>
    </row>
    <row r="146" ht="15.6" hidden="1" spans="1:3">
      <c r="A146" s="164" t="s">
        <v>151</v>
      </c>
      <c r="B146" s="166">
        <v>25</v>
      </c>
      <c r="C146" s="166" t="s">
        <v>6</v>
      </c>
    </row>
    <row r="147" ht="15.6" hidden="1" spans="1:3">
      <c r="A147" s="164" t="s">
        <v>152</v>
      </c>
      <c r="B147" s="165">
        <v>10</v>
      </c>
      <c r="C147" s="166" t="s">
        <v>27</v>
      </c>
    </row>
    <row r="148" ht="15.6" hidden="1" spans="1:3">
      <c r="A148" s="164" t="s">
        <v>153</v>
      </c>
      <c r="B148" s="166">
        <v>75</v>
      </c>
      <c r="C148" s="166" t="s">
        <v>4</v>
      </c>
    </row>
    <row r="149" ht="15.6" spans="1:3">
      <c r="A149" s="164" t="s">
        <v>154</v>
      </c>
      <c r="B149" s="166">
        <v>30</v>
      </c>
      <c r="C149" s="166" t="s">
        <v>6</v>
      </c>
    </row>
    <row r="150" ht="15.6" hidden="1" spans="1:3">
      <c r="A150" s="164" t="s">
        <v>155</v>
      </c>
      <c r="B150" s="166">
        <v>25</v>
      </c>
      <c r="C150" s="166" t="s">
        <v>6</v>
      </c>
    </row>
    <row r="151" ht="15.6" hidden="1" spans="1:3">
      <c r="A151" s="164" t="s">
        <v>156</v>
      </c>
      <c r="B151" s="168">
        <v>25</v>
      </c>
      <c r="C151" s="166" t="s">
        <v>6</v>
      </c>
    </row>
    <row r="152" ht="15.6" hidden="1" spans="1:3">
      <c r="A152" s="164" t="s">
        <v>157</v>
      </c>
      <c r="B152" s="166">
        <v>25</v>
      </c>
      <c r="C152" s="166" t="s">
        <v>6</v>
      </c>
    </row>
    <row r="153" ht="15.6" hidden="1" spans="1:3">
      <c r="A153" s="164" t="s">
        <v>158</v>
      </c>
      <c r="B153" s="165">
        <v>10</v>
      </c>
      <c r="C153" s="166" t="s">
        <v>27</v>
      </c>
    </row>
    <row r="154" ht="15.6" spans="1:3">
      <c r="A154" s="164" t="s">
        <v>159</v>
      </c>
      <c r="B154" s="166">
        <v>20</v>
      </c>
      <c r="C154" s="166" t="s">
        <v>6</v>
      </c>
    </row>
    <row r="155" ht="15.6" hidden="1" spans="1:3">
      <c r="A155" s="164" t="s">
        <v>160</v>
      </c>
      <c r="B155" s="166">
        <v>25</v>
      </c>
      <c r="C155" s="166" t="s">
        <v>6</v>
      </c>
    </row>
    <row r="156" ht="15.6" hidden="1" spans="1:3">
      <c r="A156" s="164" t="s">
        <v>161</v>
      </c>
      <c r="B156" s="168">
        <v>25</v>
      </c>
      <c r="C156" s="166" t="s">
        <v>6</v>
      </c>
    </row>
    <row r="157" ht="15.6" hidden="1" spans="1:3">
      <c r="A157" s="164" t="s">
        <v>162</v>
      </c>
      <c r="B157" s="166">
        <v>25</v>
      </c>
      <c r="C157" s="166" t="s">
        <v>6</v>
      </c>
    </row>
    <row r="158" ht="15.6" hidden="1" spans="1:3">
      <c r="A158" s="164" t="s">
        <v>163</v>
      </c>
      <c r="B158" s="166">
        <v>25</v>
      </c>
      <c r="C158" s="166" t="s">
        <v>6</v>
      </c>
    </row>
    <row r="159" ht="15.6" hidden="1" spans="1:3">
      <c r="A159" s="164" t="s">
        <v>164</v>
      </c>
      <c r="B159" s="166">
        <v>20</v>
      </c>
      <c r="C159" s="168" t="s">
        <v>6</v>
      </c>
    </row>
    <row r="160" ht="15.6" hidden="1" spans="1:3">
      <c r="A160" s="164" t="s">
        <v>165</v>
      </c>
      <c r="B160" s="166">
        <v>25</v>
      </c>
      <c r="C160" s="166" t="s">
        <v>6</v>
      </c>
    </row>
    <row r="161" ht="15.6" hidden="1" spans="1:3">
      <c r="A161" s="164" t="s">
        <v>166</v>
      </c>
      <c r="B161" s="166">
        <v>12</v>
      </c>
      <c r="C161" s="166" t="s">
        <v>27</v>
      </c>
    </row>
    <row r="162" ht="15.6" hidden="1" spans="1:3">
      <c r="A162" s="164" t="s">
        <v>167</v>
      </c>
      <c r="B162" s="168">
        <v>5</v>
      </c>
      <c r="C162" s="166" t="s">
        <v>27</v>
      </c>
    </row>
    <row r="163" ht="15.6" hidden="1" spans="1:3">
      <c r="A163" s="164" t="s">
        <v>168</v>
      </c>
      <c r="B163" s="168">
        <v>5</v>
      </c>
      <c r="C163" s="166" t="s">
        <v>27</v>
      </c>
    </row>
    <row r="164" ht="15.6" hidden="1" spans="1:3">
      <c r="A164" s="164" t="s">
        <v>169</v>
      </c>
      <c r="B164" s="166">
        <v>20</v>
      </c>
      <c r="C164" s="166" t="s">
        <v>6</v>
      </c>
    </row>
    <row r="165" ht="31.2" hidden="1" spans="1:3">
      <c r="A165" s="164" t="s">
        <v>170</v>
      </c>
      <c r="B165" s="166">
        <v>130</v>
      </c>
      <c r="C165" s="166" t="s">
        <v>4</v>
      </c>
    </row>
    <row r="166" ht="15.6" hidden="1" spans="1:3">
      <c r="A166" s="164" t="s">
        <v>171</v>
      </c>
      <c r="B166" s="166">
        <v>50</v>
      </c>
      <c r="C166" s="166" t="s">
        <v>6</v>
      </c>
    </row>
    <row r="167" ht="31.2" hidden="1" spans="1:3">
      <c r="A167" s="164" t="s">
        <v>172</v>
      </c>
      <c r="B167" s="166">
        <v>100</v>
      </c>
      <c r="C167" s="166" t="s">
        <v>4</v>
      </c>
    </row>
    <row r="168" ht="15.6" hidden="1" spans="1:3">
      <c r="A168" s="164" t="s">
        <v>173</v>
      </c>
      <c r="B168" s="166">
        <v>100</v>
      </c>
      <c r="C168" s="166" t="s">
        <v>4</v>
      </c>
    </row>
    <row r="169" ht="15.6" hidden="1" spans="1:3">
      <c r="A169" s="167" t="s">
        <v>174</v>
      </c>
      <c r="B169" s="168">
        <v>15</v>
      </c>
      <c r="C169" s="166" t="s">
        <v>27</v>
      </c>
    </row>
    <row r="170" ht="15.6" hidden="1" spans="1:3">
      <c r="A170" s="167" t="s">
        <v>175</v>
      </c>
      <c r="B170" s="168">
        <v>8</v>
      </c>
      <c r="C170" s="166" t="s">
        <v>27</v>
      </c>
    </row>
    <row r="171" ht="15.6" spans="1:3">
      <c r="A171" s="167" t="s">
        <v>176</v>
      </c>
      <c r="B171" s="168">
        <v>8</v>
      </c>
      <c r="C171" s="166" t="s">
        <v>27</v>
      </c>
    </row>
    <row r="172" ht="15.6" hidden="1" spans="1:3">
      <c r="A172" s="167" t="s">
        <v>177</v>
      </c>
      <c r="B172" s="168">
        <v>8</v>
      </c>
      <c r="C172" s="166" t="s">
        <v>27</v>
      </c>
    </row>
    <row r="173" ht="15.6" hidden="1" spans="1:3">
      <c r="A173" s="164" t="s">
        <v>178</v>
      </c>
      <c r="B173" s="168">
        <v>8</v>
      </c>
      <c r="C173" s="166" t="s">
        <v>27</v>
      </c>
    </row>
    <row r="174" ht="31.2" spans="1:3">
      <c r="A174" s="164" t="s">
        <v>179</v>
      </c>
      <c r="B174" s="168">
        <v>5</v>
      </c>
      <c r="C174" s="166" t="s">
        <v>27</v>
      </c>
    </row>
    <row r="175" ht="15.6" hidden="1" spans="1:3">
      <c r="A175" s="164" t="s">
        <v>180</v>
      </c>
      <c r="B175" s="168">
        <v>5</v>
      </c>
      <c r="C175" s="165" t="s">
        <v>27</v>
      </c>
    </row>
    <row r="176" ht="15.6" hidden="1" spans="1:3">
      <c r="A176" s="164" t="s">
        <v>181</v>
      </c>
      <c r="B176" s="168">
        <v>5</v>
      </c>
      <c r="C176" s="165" t="s">
        <v>27</v>
      </c>
    </row>
    <row r="177" ht="15.6" hidden="1" spans="1:3">
      <c r="A177" s="169" t="s">
        <v>182</v>
      </c>
      <c r="B177" s="165">
        <v>25</v>
      </c>
      <c r="C177" s="168" t="s">
        <v>6</v>
      </c>
    </row>
    <row r="178" ht="15.6" hidden="1" spans="1:3">
      <c r="A178" s="167" t="s">
        <v>183</v>
      </c>
      <c r="B178" s="168">
        <v>20</v>
      </c>
      <c r="C178" s="168" t="s">
        <v>6</v>
      </c>
    </row>
    <row r="179" ht="15.6" hidden="1" spans="1:3">
      <c r="A179" s="167" t="s">
        <v>184</v>
      </c>
      <c r="B179" s="168">
        <v>20</v>
      </c>
      <c r="C179" s="168" t="s">
        <v>6</v>
      </c>
    </row>
    <row r="180" ht="15.6" hidden="1" spans="1:3">
      <c r="A180" s="167" t="s">
        <v>185</v>
      </c>
      <c r="B180" s="168">
        <v>7</v>
      </c>
      <c r="C180" s="166" t="s">
        <v>27</v>
      </c>
    </row>
    <row r="181" ht="15.6" hidden="1" spans="1:3">
      <c r="A181" s="167" t="s">
        <v>186</v>
      </c>
      <c r="B181" s="168">
        <v>7</v>
      </c>
      <c r="C181" s="166" t="s">
        <v>27</v>
      </c>
    </row>
    <row r="182" ht="15.6" spans="1:3">
      <c r="A182" s="167" t="s">
        <v>187</v>
      </c>
      <c r="B182" s="168">
        <v>7</v>
      </c>
      <c r="C182" s="166" t="s">
        <v>27</v>
      </c>
    </row>
    <row r="183" ht="15.6" hidden="1" spans="1:3">
      <c r="A183" s="164" t="s">
        <v>188</v>
      </c>
      <c r="B183" s="168">
        <v>7</v>
      </c>
      <c r="C183" s="166" t="s">
        <v>27</v>
      </c>
    </row>
    <row r="184" ht="15.6" hidden="1" spans="1:3">
      <c r="A184" s="167" t="s">
        <v>189</v>
      </c>
      <c r="B184" s="168">
        <v>3</v>
      </c>
      <c r="C184" s="166" t="s">
        <v>27</v>
      </c>
    </row>
    <row r="185" ht="15.6" hidden="1" spans="1:3">
      <c r="A185" s="167" t="s">
        <v>190</v>
      </c>
      <c r="B185" s="168">
        <v>5</v>
      </c>
      <c r="C185" s="166" t="s">
        <v>27</v>
      </c>
    </row>
    <row r="186" ht="15.6" hidden="1" spans="1:3">
      <c r="A186" s="164" t="s">
        <v>191</v>
      </c>
      <c r="B186" s="166">
        <v>7</v>
      </c>
      <c r="C186" s="166" t="s">
        <v>27</v>
      </c>
    </row>
    <row r="187" ht="15.6" hidden="1" spans="1:3">
      <c r="A187" s="167" t="s">
        <v>192</v>
      </c>
      <c r="B187" s="165">
        <v>10</v>
      </c>
      <c r="C187" s="166" t="s">
        <v>27</v>
      </c>
    </row>
    <row r="188" ht="15.6" hidden="1" spans="1:3">
      <c r="A188" s="169" t="s">
        <v>193</v>
      </c>
      <c r="B188" s="165">
        <v>25</v>
      </c>
      <c r="C188" s="168" t="s">
        <v>6</v>
      </c>
    </row>
    <row r="189" ht="15.6" hidden="1" spans="1:3">
      <c r="A189" s="164" t="s">
        <v>194</v>
      </c>
      <c r="B189" s="166">
        <v>7</v>
      </c>
      <c r="C189" s="166" t="s">
        <v>27</v>
      </c>
    </row>
    <row r="190" ht="15.6" hidden="1" spans="1:3">
      <c r="A190" s="164" t="s">
        <v>195</v>
      </c>
      <c r="B190" s="168">
        <v>7</v>
      </c>
      <c r="C190" s="166" t="s">
        <v>27</v>
      </c>
    </row>
    <row r="191" ht="15.6" hidden="1" spans="1:3">
      <c r="A191" s="164" t="s">
        <v>196</v>
      </c>
      <c r="B191" s="166">
        <v>10</v>
      </c>
      <c r="C191" s="166" t="s">
        <v>27</v>
      </c>
    </row>
    <row r="192" ht="15.6" hidden="1" spans="1:3">
      <c r="A192" s="164" t="s">
        <v>197</v>
      </c>
      <c r="B192" s="166">
        <v>25</v>
      </c>
      <c r="C192" s="166" t="s">
        <v>6</v>
      </c>
    </row>
    <row r="193" ht="15.6" hidden="1" spans="1:3">
      <c r="A193" s="167" t="s">
        <v>198</v>
      </c>
      <c r="B193" s="168">
        <v>7</v>
      </c>
      <c r="C193" s="166" t="s">
        <v>27</v>
      </c>
    </row>
    <row r="194" ht="15.6" hidden="1" spans="1:3">
      <c r="A194" s="167" t="s">
        <v>199</v>
      </c>
      <c r="B194" s="171">
        <v>20</v>
      </c>
      <c r="C194" s="171" t="s">
        <v>6</v>
      </c>
    </row>
    <row r="195" ht="15.6" hidden="1" spans="1:3">
      <c r="A195" s="167" t="s">
        <v>200</v>
      </c>
      <c r="B195" s="168">
        <v>7</v>
      </c>
      <c r="C195" s="166" t="s">
        <v>27</v>
      </c>
    </row>
    <row r="196" ht="15.6" hidden="1" spans="1:3">
      <c r="A196" s="167" t="s">
        <v>201</v>
      </c>
      <c r="B196" s="168">
        <v>8</v>
      </c>
      <c r="C196" s="166" t="s">
        <v>27</v>
      </c>
    </row>
    <row r="197" ht="15.6" hidden="1" spans="1:3">
      <c r="A197" s="164" t="s">
        <v>202</v>
      </c>
      <c r="B197" s="168">
        <v>3</v>
      </c>
      <c r="C197" s="166" t="s">
        <v>27</v>
      </c>
    </row>
    <row r="198" ht="15.6" hidden="1" spans="1:3">
      <c r="A198" s="164" t="s">
        <v>203</v>
      </c>
      <c r="B198" s="168">
        <v>5</v>
      </c>
      <c r="C198" s="166" t="s">
        <v>27</v>
      </c>
    </row>
    <row r="199" ht="15.6" hidden="1" spans="1:3">
      <c r="A199" s="164" t="s">
        <v>204</v>
      </c>
      <c r="B199" s="168">
        <v>5</v>
      </c>
      <c r="C199" s="168" t="s">
        <v>27</v>
      </c>
    </row>
    <row r="200" ht="15.6" hidden="1" spans="1:3">
      <c r="A200" s="164" t="s">
        <v>205</v>
      </c>
      <c r="B200" s="168">
        <v>5</v>
      </c>
      <c r="C200" s="168" t="s">
        <v>27</v>
      </c>
    </row>
    <row r="201" ht="15.6" hidden="1" spans="1:3">
      <c r="A201" s="164" t="s">
        <v>206</v>
      </c>
      <c r="B201" s="168">
        <v>20</v>
      </c>
      <c r="C201" s="168" t="s">
        <v>6</v>
      </c>
    </row>
  </sheetData>
  <sheetProtection selectLockedCells="1"/>
  <autoFilter ref="A1:C201">
    <filterColumn colId="0">
      <filters>
        <filter val="架空线路停电更换耐张自爆玻璃绝缘子"/>
        <filter val="架空线路停电调整及更换悬垂绝缘子"/>
        <filter val="架空线路停电清抹、喷涂玻璃绝缘子"/>
        <filter val="架空线路附件停电安装"/>
        <filter val="电缆终端头线夹发热停电处理"/>
        <filter val="架空线路停电清除异物（塔上作业）"/>
        <filter val="输电电缆瓷套式终端停电清抹"/>
        <filter val="电缆终端避雷器停电试验"/>
        <filter val="架空线路停电装拆跳线"/>
        <filter val="架空线路停电检查、调整及更换导地线金具附件"/>
        <filter val="架空线路多回单侧停电，放撤或更换停电侧ADSS光缆"/>
        <filter val="架空线路停电安装防鸟设施"/>
        <filter val="电缆外护套停电检修"/>
        <filter val="架空线路停电拆、装线路避雷器"/>
        <filter val="架空线路停电加固ADSS金具附件作业"/>
        <filter val="架空线路停电处理线夹发热"/>
        <filter val="电缆接地系统停电检修"/>
        <filter val="电缆附件停电检修"/>
        <filter val="架空线路停电安装或更换故障定位装置"/>
        <filter val="架空线路停电放撤或更换导、地线"/>
        <filter val="架空线路停电装拆引流板或引流线"/>
        <filter val="架空线路停电更换耐张绝缘子"/>
        <filter val="架空线路线路停电检查及更换导线金具及附件"/>
        <filter val="电缆线路安装或更换接地箱（停电）"/>
        <filter val="架空线路杆塔倾斜调整（停电作业）"/>
        <filter val="电缆停电预试（外护套绝缘电阻试验、交叉互联检查、保护器试验、接头井地网测试等）"/>
        <filter val="500kV 及以上停电跨越工程"/>
        <filter val="架空线路停电安装在线监测装置"/>
        <filter val="电缆主绝缘故障停电查找"/>
        <filter val="架空线路停电修补导地线"/>
      </filters>
    </filterColumn>
    <extLst/>
  </autoFilter>
  <conditionalFormatting sqref="A152">
    <cfRule type="duplicateValues" dxfId="0" priority="4"/>
  </conditionalFormatting>
  <conditionalFormatting sqref="A153">
    <cfRule type="duplicateValues" dxfId="0" priority="3"/>
  </conditionalFormatting>
  <conditionalFormatting sqref="A154">
    <cfRule type="duplicateValues" dxfId="0" priority="2"/>
  </conditionalFormatting>
  <conditionalFormatting sqref="A57:A75 A2:A31 A109:A141 A178:A183 A169:A173 A193:A196">
    <cfRule type="duplicateValues" dxfId="0" priority="1"/>
  </conditionalFormatting>
  <conditionalFormatting sqref="A32:A56 A76:A108 A155:A168 A142:A151 A174:A177 A184:A192 A197:A201">
    <cfRule type="duplicateValues" dxfId="0" priority="5"/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7"/>
  </sheetPr>
  <dimension ref="A1:V23"/>
  <sheetViews>
    <sheetView zoomScale="85" zoomScaleNormal="85" workbookViewId="0">
      <selection activeCell="D2" sqref="D2"/>
    </sheetView>
  </sheetViews>
  <sheetFormatPr defaultColWidth="9" defaultRowHeight="15"/>
  <cols>
    <col min="1" max="1" width="20.1296296296296" style="120" customWidth="1"/>
    <col min="2" max="2" width="15.3796296296296" style="120" customWidth="1"/>
    <col min="3" max="3" width="12" style="120" customWidth="1"/>
    <col min="4" max="4" width="12.1296296296296" style="120" customWidth="1"/>
    <col min="5" max="5" width="13.6296296296296" style="120" customWidth="1"/>
    <col min="6" max="6" width="3.87962962962963" style="120" customWidth="1"/>
    <col min="7" max="7" width="8.75" style="120" customWidth="1"/>
    <col min="8" max="8" width="3.87962962962963" style="120" customWidth="1"/>
    <col min="9" max="9" width="11.75" style="120" customWidth="1"/>
    <col min="10" max="10" width="3.87962962962963" style="120" customWidth="1"/>
    <col min="11" max="11" width="14.1296296296296" style="120" customWidth="1"/>
    <col min="12" max="12" width="3.87962962962963" style="120" customWidth="1"/>
    <col min="13" max="13" width="10.6296296296296" style="120" customWidth="1"/>
    <col min="14" max="14" width="3.87962962962963" style="120" customWidth="1"/>
    <col min="15" max="15" width="16.6296296296296" style="120" customWidth="1"/>
    <col min="16" max="16" width="3.87962962962963" style="120" customWidth="1"/>
    <col min="17" max="17" width="10.3796296296296" style="120" customWidth="1"/>
    <col min="18" max="18" width="3.87962962962963" style="120" customWidth="1"/>
    <col min="19" max="19" width="13.1296296296296" style="120" customWidth="1"/>
    <col min="20" max="20" width="3.87962962962963" style="120" customWidth="1"/>
    <col min="21" max="16384" width="9" style="120"/>
  </cols>
  <sheetData>
    <row r="1" ht="60" spans="1:22">
      <c r="A1" s="121" t="s">
        <v>207</v>
      </c>
      <c r="B1" s="122" t="s">
        <v>208</v>
      </c>
      <c r="C1" s="123" t="s">
        <v>209</v>
      </c>
      <c r="D1" s="124" t="s">
        <v>210</v>
      </c>
      <c r="E1" s="125" t="s">
        <v>211</v>
      </c>
      <c r="F1" s="126" t="s">
        <v>212</v>
      </c>
      <c r="G1" s="127" t="s">
        <v>213</v>
      </c>
      <c r="H1" s="128" t="s">
        <v>212</v>
      </c>
      <c r="I1" s="127" t="s">
        <v>214</v>
      </c>
      <c r="J1" s="126" t="s">
        <v>212</v>
      </c>
      <c r="K1" s="151" t="s">
        <v>215</v>
      </c>
      <c r="L1" s="151" t="s">
        <v>212</v>
      </c>
      <c r="M1" s="125" t="s">
        <v>216</v>
      </c>
      <c r="N1" s="128" t="s">
        <v>212</v>
      </c>
      <c r="O1" s="127" t="s">
        <v>217</v>
      </c>
      <c r="P1" s="128" t="s">
        <v>212</v>
      </c>
      <c r="Q1" s="127" t="s">
        <v>218</v>
      </c>
      <c r="R1" s="128" t="s">
        <v>212</v>
      </c>
      <c r="S1" s="127" t="s">
        <v>219</v>
      </c>
      <c r="T1" s="128" t="s">
        <v>212</v>
      </c>
      <c r="U1" s="152" t="s">
        <v>220</v>
      </c>
      <c r="V1" s="151" t="s">
        <v>212</v>
      </c>
    </row>
    <row r="2" ht="45" spans="1:22">
      <c r="A2" s="129" t="s">
        <v>221</v>
      </c>
      <c r="B2" s="130">
        <v>0</v>
      </c>
      <c r="C2" s="131">
        <v>0</v>
      </c>
      <c r="D2" s="132">
        <v>0</v>
      </c>
      <c r="E2" s="133" t="s">
        <v>222</v>
      </c>
      <c r="F2" s="134">
        <v>0</v>
      </c>
      <c r="G2" s="130" t="s">
        <v>223</v>
      </c>
      <c r="H2" s="135">
        <v>0</v>
      </c>
      <c r="I2" s="130" t="s">
        <v>224</v>
      </c>
      <c r="J2" s="134">
        <v>0</v>
      </c>
      <c r="K2" s="152" t="s">
        <v>225</v>
      </c>
      <c r="L2" s="152">
        <v>0</v>
      </c>
      <c r="M2" s="152" t="s">
        <v>226</v>
      </c>
      <c r="N2" s="152">
        <v>0</v>
      </c>
      <c r="O2" s="152" t="s">
        <v>227</v>
      </c>
      <c r="P2" s="152">
        <v>0</v>
      </c>
      <c r="Q2" s="152" t="s">
        <v>228</v>
      </c>
      <c r="R2" s="152">
        <v>0</v>
      </c>
      <c r="S2" s="152" t="s">
        <v>229</v>
      </c>
      <c r="T2" s="152">
        <v>0</v>
      </c>
      <c r="U2" s="152" t="s">
        <v>230</v>
      </c>
      <c r="V2" s="152">
        <v>0</v>
      </c>
    </row>
    <row r="3" ht="75" spans="1:22">
      <c r="A3" s="136" t="s">
        <v>231</v>
      </c>
      <c r="B3" s="137">
        <v>2</v>
      </c>
      <c r="C3" s="138">
        <v>2</v>
      </c>
      <c r="D3" s="139">
        <v>2</v>
      </c>
      <c r="E3" s="140" t="s">
        <v>232</v>
      </c>
      <c r="F3" s="141">
        <v>5</v>
      </c>
      <c r="G3" s="142" t="s">
        <v>233</v>
      </c>
      <c r="H3" s="143">
        <v>5</v>
      </c>
      <c r="I3" s="137" t="s">
        <v>234</v>
      </c>
      <c r="J3" s="156">
        <v>10</v>
      </c>
      <c r="K3" s="152" t="s">
        <v>235</v>
      </c>
      <c r="L3" s="152">
        <v>3</v>
      </c>
      <c r="M3" s="152" t="s">
        <v>236</v>
      </c>
      <c r="N3" s="152">
        <v>2</v>
      </c>
      <c r="O3" s="152" t="s">
        <v>237</v>
      </c>
      <c r="P3" s="152">
        <v>5</v>
      </c>
      <c r="Q3" s="152" t="s">
        <v>238</v>
      </c>
      <c r="R3" s="152">
        <v>2</v>
      </c>
      <c r="S3" s="152" t="s">
        <v>239</v>
      </c>
      <c r="T3" s="152">
        <v>10</v>
      </c>
      <c r="U3" s="152" t="s">
        <v>220</v>
      </c>
      <c r="V3" s="152">
        <v>5</v>
      </c>
    </row>
    <row r="4" ht="90" spans="1:20">
      <c r="A4" s="136" t="s">
        <v>240</v>
      </c>
      <c r="B4" s="137">
        <v>3</v>
      </c>
      <c r="C4" s="138">
        <v>3</v>
      </c>
      <c r="D4" s="139">
        <v>3</v>
      </c>
      <c r="G4" s="144" t="s">
        <v>241</v>
      </c>
      <c r="H4" s="145">
        <v>8</v>
      </c>
      <c r="I4" s="137" t="s">
        <v>242</v>
      </c>
      <c r="J4" s="156">
        <v>15</v>
      </c>
      <c r="K4" s="152" t="s">
        <v>243</v>
      </c>
      <c r="L4" s="152">
        <v>10</v>
      </c>
      <c r="M4" s="157" t="s">
        <v>244</v>
      </c>
      <c r="N4" s="157">
        <v>5</v>
      </c>
      <c r="O4" s="157" t="s">
        <v>245</v>
      </c>
      <c r="P4" s="157">
        <v>20</v>
      </c>
      <c r="Q4" s="157" t="s">
        <v>246</v>
      </c>
      <c r="R4" s="157">
        <v>10</v>
      </c>
      <c r="S4" s="157" t="s">
        <v>247</v>
      </c>
      <c r="T4" s="157">
        <v>20</v>
      </c>
    </row>
    <row r="5" ht="90" spans="1:18">
      <c r="A5" s="136" t="s">
        <v>248</v>
      </c>
      <c r="B5" s="137">
        <v>5</v>
      </c>
      <c r="C5" s="138">
        <v>5</v>
      </c>
      <c r="D5" s="139">
        <v>5</v>
      </c>
      <c r="I5" s="137" t="s">
        <v>249</v>
      </c>
      <c r="J5" s="156">
        <v>10</v>
      </c>
      <c r="K5" s="152" t="s">
        <v>250</v>
      </c>
      <c r="L5" s="152" t="s">
        <v>251</v>
      </c>
      <c r="M5" s="157" t="s">
        <v>252</v>
      </c>
      <c r="N5" s="157">
        <v>7</v>
      </c>
      <c r="O5" s="157" t="s">
        <v>253</v>
      </c>
      <c r="P5" s="157">
        <v>20</v>
      </c>
      <c r="Q5" s="157" t="s">
        <v>254</v>
      </c>
      <c r="R5" s="157">
        <v>20</v>
      </c>
    </row>
    <row r="6" ht="90.75" spans="1:18">
      <c r="A6" s="146" t="s">
        <v>255</v>
      </c>
      <c r="B6" s="147">
        <v>6</v>
      </c>
      <c r="C6" s="148">
        <v>6</v>
      </c>
      <c r="D6" s="149">
        <v>6</v>
      </c>
      <c r="I6" s="137" t="s">
        <v>256</v>
      </c>
      <c r="J6" s="156">
        <v>15</v>
      </c>
      <c r="K6" s="152" t="s">
        <v>257</v>
      </c>
      <c r="L6" s="152">
        <v>10</v>
      </c>
      <c r="M6" s="157" t="s">
        <v>258</v>
      </c>
      <c r="N6" s="157">
        <v>10</v>
      </c>
      <c r="O6" s="152" t="s">
        <v>259</v>
      </c>
      <c r="P6" s="152">
        <v>20</v>
      </c>
      <c r="Q6" s="160"/>
      <c r="R6" s="160"/>
    </row>
    <row r="7" ht="120.75" spans="9:14">
      <c r="I7" s="158" t="s">
        <v>260</v>
      </c>
      <c r="J7" s="159" t="s">
        <v>261</v>
      </c>
      <c r="K7" s="152" t="s">
        <v>262</v>
      </c>
      <c r="L7" s="152">
        <v>15</v>
      </c>
      <c r="M7" s="152" t="s">
        <v>263</v>
      </c>
      <c r="N7" s="152">
        <v>5</v>
      </c>
    </row>
    <row r="8" ht="75" spans="1:14">
      <c r="A8" s="121" t="s">
        <v>264</v>
      </c>
      <c r="B8" s="121" t="s">
        <v>265</v>
      </c>
      <c r="C8" s="122" t="s">
        <v>266</v>
      </c>
      <c r="D8" s="150" t="s">
        <v>267</v>
      </c>
      <c r="E8" s="151" t="s">
        <v>268</v>
      </c>
      <c r="F8" s="126" t="s">
        <v>212</v>
      </c>
      <c r="K8" s="152" t="s">
        <v>269</v>
      </c>
      <c r="L8" s="152">
        <v>15</v>
      </c>
      <c r="M8" s="152" t="s">
        <v>270</v>
      </c>
      <c r="N8" s="152">
        <v>5</v>
      </c>
    </row>
    <row r="9" ht="105" spans="1:12">
      <c r="A9" s="152" t="s">
        <v>271</v>
      </c>
      <c r="B9" s="152">
        <v>0</v>
      </c>
      <c r="C9" s="152">
        <v>0</v>
      </c>
      <c r="D9" s="153">
        <v>0</v>
      </c>
      <c r="E9" s="152" t="s">
        <v>272</v>
      </c>
      <c r="F9" s="152">
        <v>0</v>
      </c>
      <c r="K9" s="152" t="s">
        <v>273</v>
      </c>
      <c r="L9" s="152">
        <v>30</v>
      </c>
    </row>
    <row r="10" ht="30" spans="1:6">
      <c r="A10" s="152" t="s">
        <v>274</v>
      </c>
      <c r="B10" s="152">
        <v>2</v>
      </c>
      <c r="C10" s="152">
        <v>2</v>
      </c>
      <c r="D10" s="153">
        <v>2</v>
      </c>
      <c r="E10" s="152" t="s">
        <v>275</v>
      </c>
      <c r="F10" s="152">
        <v>2</v>
      </c>
    </row>
    <row r="11" ht="30" spans="1:6">
      <c r="A11" s="152" t="s">
        <v>276</v>
      </c>
      <c r="B11" s="152">
        <v>3</v>
      </c>
      <c r="C11" s="152">
        <v>3</v>
      </c>
      <c r="D11" s="153">
        <v>3</v>
      </c>
      <c r="E11" s="152" t="s">
        <v>277</v>
      </c>
      <c r="F11" s="152">
        <v>10</v>
      </c>
    </row>
    <row r="12" ht="60" spans="1:6">
      <c r="A12" s="152" t="s">
        <v>278</v>
      </c>
      <c r="B12" s="152">
        <v>5</v>
      </c>
      <c r="C12" s="152">
        <v>5</v>
      </c>
      <c r="D12" s="153">
        <v>5</v>
      </c>
      <c r="E12" s="152" t="s">
        <v>279</v>
      </c>
      <c r="F12" s="152" t="s">
        <v>251</v>
      </c>
    </row>
    <row r="13" ht="30" spans="1:6">
      <c r="A13" s="152" t="s">
        <v>280</v>
      </c>
      <c r="B13" s="152">
        <v>6</v>
      </c>
      <c r="C13" s="152">
        <v>6</v>
      </c>
      <c r="D13" s="153">
        <v>6</v>
      </c>
      <c r="E13" s="152"/>
      <c r="F13" s="152"/>
    </row>
    <row r="18" spans="1:1">
      <c r="A18" s="154"/>
    </row>
    <row r="19" spans="1:1">
      <c r="A19" s="155"/>
    </row>
    <row r="20" spans="1:1">
      <c r="A20" s="155"/>
    </row>
    <row r="21" spans="1:1">
      <c r="A21" s="155"/>
    </row>
    <row r="22" spans="1:1">
      <c r="A22" s="155"/>
    </row>
    <row r="23" spans="1:1">
      <c r="A23" s="155"/>
    </row>
  </sheetData>
  <sheetProtection selectLockedCell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4" tint="0.399975585192419"/>
  </sheetPr>
  <dimension ref="A1:I45"/>
  <sheetViews>
    <sheetView workbookViewId="0">
      <selection activeCell="D2" sqref="D2"/>
    </sheetView>
  </sheetViews>
  <sheetFormatPr defaultColWidth="9" defaultRowHeight="14.4"/>
  <cols>
    <col min="1" max="1" width="24.3703703703704" style="90" customWidth="1"/>
    <col min="2" max="2" width="31.3703703703704" style="90" customWidth="1"/>
    <col min="3" max="5" width="10.6296296296296" style="90" hidden="1" customWidth="1"/>
    <col min="6" max="6" width="10.6296296296296" style="90" customWidth="1"/>
    <col min="7" max="7" width="10.6296296296296" style="90" hidden="1" customWidth="1"/>
    <col min="8" max="8" width="2.37037037037037" style="90" hidden="1" customWidth="1"/>
    <col min="9" max="9" width="20.3703703703704" style="90" hidden="1" customWidth="1"/>
    <col min="10" max="16384" width="9" style="90"/>
  </cols>
  <sheetData>
    <row r="1" ht="30" customHeight="1" spans="1:9">
      <c r="A1" s="91" t="s">
        <v>281</v>
      </c>
      <c r="I1" s="119">
        <v>1</v>
      </c>
    </row>
    <row r="2" ht="30" hidden="1" customHeight="1" spans="1:9">
      <c r="A2" s="92" t="s">
        <v>282</v>
      </c>
      <c r="B2" s="92"/>
      <c r="C2" s="92"/>
      <c r="I2" s="119"/>
    </row>
    <row r="3" s="89" customFormat="1" ht="35.15" customHeight="1" spans="1:7">
      <c r="A3" s="93" t="s">
        <v>283</v>
      </c>
      <c r="B3" s="93"/>
      <c r="C3" s="93" t="s">
        <v>284</v>
      </c>
      <c r="D3" s="93" t="s">
        <v>285</v>
      </c>
      <c r="E3" s="93" t="s">
        <v>286</v>
      </c>
      <c r="F3" s="93" t="s">
        <v>287</v>
      </c>
      <c r="G3" s="93" t="s">
        <v>288</v>
      </c>
    </row>
    <row r="4" s="89" customFormat="1" ht="16" customHeight="1" spans="1:9">
      <c r="A4" s="94" t="s">
        <v>289</v>
      </c>
      <c r="B4" s="94" t="s">
        <v>290</v>
      </c>
      <c r="C4" s="95" t="s">
        <v>291</v>
      </c>
      <c r="D4" s="96" t="s">
        <v>292</v>
      </c>
      <c r="E4" s="97" t="s">
        <v>293</v>
      </c>
      <c r="F4" s="97" t="s">
        <v>293</v>
      </c>
      <c r="G4" s="97" t="s">
        <v>293</v>
      </c>
      <c r="H4" s="89">
        <v>1</v>
      </c>
      <c r="I4" s="89" t="s">
        <v>294</v>
      </c>
    </row>
    <row r="5" s="89" customFormat="1" ht="16" customHeight="1" spans="1:9">
      <c r="A5" s="94"/>
      <c r="B5" s="94" t="s">
        <v>295</v>
      </c>
      <c r="C5" s="98"/>
      <c r="D5" s="95" t="s">
        <v>291</v>
      </c>
      <c r="E5" s="96" t="s">
        <v>292</v>
      </c>
      <c r="F5" s="97" t="s">
        <v>293</v>
      </c>
      <c r="G5" s="97" t="s">
        <v>293</v>
      </c>
      <c r="H5" s="89">
        <v>1</v>
      </c>
      <c r="I5" s="89" t="s">
        <v>296</v>
      </c>
    </row>
    <row r="6" s="89" customFormat="1" ht="16" customHeight="1" spans="1:9">
      <c r="A6" s="94"/>
      <c r="B6" s="94" t="s">
        <v>297</v>
      </c>
      <c r="C6" s="98"/>
      <c r="D6" s="99"/>
      <c r="E6" s="95" t="s">
        <v>291</v>
      </c>
      <c r="F6" s="96" t="s">
        <v>292</v>
      </c>
      <c r="G6" s="96" t="s">
        <v>292</v>
      </c>
      <c r="H6" s="89">
        <v>1</v>
      </c>
      <c r="I6" s="89" t="s">
        <v>298</v>
      </c>
    </row>
    <row r="7" s="89" customFormat="1" ht="16" customHeight="1" spans="1:8">
      <c r="A7" s="100" t="s">
        <v>299</v>
      </c>
      <c r="B7" s="94" t="s">
        <v>300</v>
      </c>
      <c r="C7" s="98"/>
      <c r="D7" s="95" t="s">
        <v>291</v>
      </c>
      <c r="E7" s="96" t="s">
        <v>292</v>
      </c>
      <c r="F7" s="97" t="s">
        <v>293</v>
      </c>
      <c r="G7" s="97" t="s">
        <v>293</v>
      </c>
      <c r="H7" s="89">
        <v>1</v>
      </c>
    </row>
    <row r="8" s="89" customFormat="1" ht="16" customHeight="1" spans="1:8">
      <c r="A8" s="101"/>
      <c r="B8" s="94" t="s">
        <v>301</v>
      </c>
      <c r="C8" s="98"/>
      <c r="D8" s="98"/>
      <c r="E8" s="95" t="s">
        <v>291</v>
      </c>
      <c r="F8" s="96" t="s">
        <v>292</v>
      </c>
      <c r="G8" s="97" t="s">
        <v>293</v>
      </c>
      <c r="H8" s="89">
        <v>1</v>
      </c>
    </row>
    <row r="9" s="89" customFormat="1" ht="16" customHeight="1" spans="1:8">
      <c r="A9" s="102"/>
      <c r="B9" s="94" t="s">
        <v>302</v>
      </c>
      <c r="C9" s="98"/>
      <c r="D9" s="98"/>
      <c r="E9" s="98"/>
      <c r="F9" s="95" t="s">
        <v>291</v>
      </c>
      <c r="G9" s="96" t="s">
        <v>292</v>
      </c>
      <c r="H9" s="89">
        <v>1</v>
      </c>
    </row>
    <row r="10" s="89" customFormat="1" ht="16" customHeight="1" spans="1:8">
      <c r="A10" s="100" t="s">
        <v>303</v>
      </c>
      <c r="B10" s="94" t="s">
        <v>300</v>
      </c>
      <c r="C10" s="98"/>
      <c r="D10" s="98"/>
      <c r="E10" s="95" t="s">
        <v>291</v>
      </c>
      <c r="F10" s="96" t="s">
        <v>292</v>
      </c>
      <c r="G10" s="96" t="s">
        <v>292</v>
      </c>
      <c r="H10" s="89">
        <v>1</v>
      </c>
    </row>
    <row r="11" s="89" customFormat="1" ht="16" customHeight="1" spans="1:8">
      <c r="A11" s="101"/>
      <c r="B11" s="94" t="s">
        <v>301</v>
      </c>
      <c r="C11" s="98"/>
      <c r="D11" s="98"/>
      <c r="E11" s="98"/>
      <c r="F11" s="95" t="s">
        <v>291</v>
      </c>
      <c r="G11" s="96" t="s">
        <v>292</v>
      </c>
      <c r="H11" s="89">
        <v>1</v>
      </c>
    </row>
    <row r="12" s="89" customFormat="1" ht="16" hidden="1" customHeight="1" spans="1:8">
      <c r="A12" s="102"/>
      <c r="B12" s="94" t="s">
        <v>302</v>
      </c>
      <c r="C12" s="99"/>
      <c r="D12" s="98"/>
      <c r="E12" s="98"/>
      <c r="F12" s="98"/>
      <c r="G12" s="95" t="s">
        <v>291</v>
      </c>
      <c r="H12" s="89">
        <v>1</v>
      </c>
    </row>
    <row r="13" s="89" customFormat="1" ht="16" customHeight="1" spans="1:8">
      <c r="A13" s="94" t="s">
        <v>233</v>
      </c>
      <c r="B13" s="94" t="s">
        <v>304</v>
      </c>
      <c r="C13" s="103" t="s">
        <v>292</v>
      </c>
      <c r="D13" s="104" t="s">
        <v>293</v>
      </c>
      <c r="E13" s="104" t="s">
        <v>293</v>
      </c>
      <c r="F13" s="104" t="s">
        <v>293</v>
      </c>
      <c r="G13" s="104" t="s">
        <v>293</v>
      </c>
      <c r="H13" s="89">
        <v>1</v>
      </c>
    </row>
    <row r="14" s="89" customFormat="1" ht="16" customHeight="1" spans="1:8">
      <c r="A14" s="94"/>
      <c r="B14" s="94" t="s">
        <v>305</v>
      </c>
      <c r="C14" s="105"/>
      <c r="D14" s="103" t="s">
        <v>292</v>
      </c>
      <c r="E14" s="104" t="s">
        <v>293</v>
      </c>
      <c r="F14" s="104" t="s">
        <v>293</v>
      </c>
      <c r="G14" s="104" t="s">
        <v>293</v>
      </c>
      <c r="H14" s="89">
        <v>1</v>
      </c>
    </row>
    <row r="15" s="89" customFormat="1" ht="16" customHeight="1" spans="1:8">
      <c r="A15" s="94"/>
      <c r="B15" s="94" t="s">
        <v>306</v>
      </c>
      <c r="C15" s="105"/>
      <c r="D15" s="105"/>
      <c r="E15" s="106"/>
      <c r="F15" s="103" t="s">
        <v>292</v>
      </c>
      <c r="G15" s="104" t="s">
        <v>293</v>
      </c>
      <c r="H15" s="89">
        <v>1</v>
      </c>
    </row>
    <row r="16" s="89" customFormat="1" ht="16" customHeight="1" spans="1:8">
      <c r="A16" s="94"/>
      <c r="B16" s="94" t="s">
        <v>307</v>
      </c>
      <c r="C16" s="107" t="s">
        <v>291</v>
      </c>
      <c r="D16" s="103" t="s">
        <v>292</v>
      </c>
      <c r="E16" s="104" t="s">
        <v>293</v>
      </c>
      <c r="F16" s="104" t="s">
        <v>293</v>
      </c>
      <c r="G16" s="104" t="s">
        <v>293</v>
      </c>
      <c r="H16" s="89">
        <v>1</v>
      </c>
    </row>
    <row r="17" s="89" customFormat="1" ht="16" customHeight="1" spans="1:8">
      <c r="A17" s="94" t="s">
        <v>308</v>
      </c>
      <c r="B17" s="94" t="s">
        <v>309</v>
      </c>
      <c r="C17" s="107" t="s">
        <v>291</v>
      </c>
      <c r="D17" s="107" t="s">
        <v>291</v>
      </c>
      <c r="E17" s="104" t="s">
        <v>293</v>
      </c>
      <c r="F17" s="104" t="s">
        <v>293</v>
      </c>
      <c r="G17" s="104" t="s">
        <v>293</v>
      </c>
      <c r="H17" s="89">
        <v>1</v>
      </c>
    </row>
    <row r="18" s="89" customFormat="1" ht="16" hidden="1" customHeight="1" spans="1:8">
      <c r="A18" s="108" t="s">
        <v>299</v>
      </c>
      <c r="B18" s="109" t="s">
        <v>310</v>
      </c>
      <c r="C18" s="96" t="s">
        <v>292</v>
      </c>
      <c r="D18" s="97" t="s">
        <v>293</v>
      </c>
      <c r="E18" s="97" t="s">
        <v>293</v>
      </c>
      <c r="F18" s="97" t="s">
        <v>293</v>
      </c>
      <c r="G18" s="97" t="s">
        <v>293</v>
      </c>
      <c r="H18" s="89">
        <v>2</v>
      </c>
    </row>
    <row r="19" s="89" customFormat="1" ht="16" hidden="1" customHeight="1" spans="1:8">
      <c r="A19" s="110"/>
      <c r="B19" s="109" t="s">
        <v>300</v>
      </c>
      <c r="C19" s="109"/>
      <c r="D19" s="95" t="s">
        <v>291</v>
      </c>
      <c r="E19" s="96" t="s">
        <v>292</v>
      </c>
      <c r="F19" s="97" t="s">
        <v>293</v>
      </c>
      <c r="G19" s="97" t="s">
        <v>293</v>
      </c>
      <c r="H19" s="89">
        <v>2</v>
      </c>
    </row>
    <row r="20" s="89" customFormat="1" ht="16" hidden="1" customHeight="1" spans="1:8">
      <c r="A20" s="110"/>
      <c r="B20" s="109" t="s">
        <v>301</v>
      </c>
      <c r="C20" s="109"/>
      <c r="D20" s="109"/>
      <c r="E20" s="95" t="s">
        <v>291</v>
      </c>
      <c r="F20" s="96" t="s">
        <v>292</v>
      </c>
      <c r="G20" s="97" t="s">
        <v>293</v>
      </c>
      <c r="H20" s="89">
        <v>2</v>
      </c>
    </row>
    <row r="21" s="89" customFormat="1" ht="16" hidden="1" customHeight="1" spans="1:8">
      <c r="A21" s="111"/>
      <c r="B21" s="109" t="s">
        <v>311</v>
      </c>
      <c r="C21" s="109"/>
      <c r="D21" s="109"/>
      <c r="E21" s="112"/>
      <c r="F21" s="95" t="s">
        <v>291</v>
      </c>
      <c r="G21" s="96" t="s">
        <v>292</v>
      </c>
      <c r="H21" s="89">
        <v>2</v>
      </c>
    </row>
    <row r="22" s="89" customFormat="1" ht="16" hidden="1" customHeight="1" spans="1:8">
      <c r="A22" s="108" t="s">
        <v>303</v>
      </c>
      <c r="B22" s="109" t="s">
        <v>300</v>
      </c>
      <c r="C22" s="109"/>
      <c r="D22" s="109"/>
      <c r="E22" s="112"/>
      <c r="F22" s="112"/>
      <c r="G22" s="96" t="s">
        <v>292</v>
      </c>
      <c r="H22" s="89">
        <v>2</v>
      </c>
    </row>
    <row r="23" s="89" customFormat="1" ht="16" hidden="1" customHeight="1" spans="1:8">
      <c r="A23" s="110"/>
      <c r="B23" s="109" t="s">
        <v>301</v>
      </c>
      <c r="C23" s="109"/>
      <c r="D23" s="109"/>
      <c r="E23" s="109"/>
      <c r="F23" s="112"/>
      <c r="G23" s="96" t="s">
        <v>292</v>
      </c>
      <c r="H23" s="89">
        <v>2</v>
      </c>
    </row>
    <row r="24" s="89" customFormat="1" ht="16" hidden="1" customHeight="1" spans="1:8">
      <c r="A24" s="111"/>
      <c r="B24" s="109" t="s">
        <v>311</v>
      </c>
      <c r="C24" s="109"/>
      <c r="D24" s="109"/>
      <c r="E24" s="109"/>
      <c r="F24" s="109"/>
      <c r="G24" s="95" t="s">
        <v>291</v>
      </c>
      <c r="H24" s="89">
        <v>2</v>
      </c>
    </row>
    <row r="25" s="89" customFormat="1" ht="16" hidden="1" customHeight="1" spans="1:8">
      <c r="A25" s="113" t="s">
        <v>233</v>
      </c>
      <c r="B25" s="114" t="s">
        <v>304</v>
      </c>
      <c r="C25" s="103" t="s">
        <v>292</v>
      </c>
      <c r="D25" s="104" t="s">
        <v>293</v>
      </c>
      <c r="E25" s="104" t="s">
        <v>293</v>
      </c>
      <c r="F25" s="104" t="s">
        <v>293</v>
      </c>
      <c r="G25" s="104" t="s">
        <v>293</v>
      </c>
      <c r="H25" s="89">
        <v>2</v>
      </c>
    </row>
    <row r="26" s="89" customFormat="1" ht="16" hidden="1" customHeight="1" spans="1:8">
      <c r="A26" s="115"/>
      <c r="B26" s="114" t="s">
        <v>305</v>
      </c>
      <c r="C26" s="114"/>
      <c r="D26" s="103" t="s">
        <v>292</v>
      </c>
      <c r="E26" s="104" t="s">
        <v>293</v>
      </c>
      <c r="F26" s="104" t="s">
        <v>293</v>
      </c>
      <c r="G26" s="104" t="s">
        <v>293</v>
      </c>
      <c r="H26" s="89">
        <v>2</v>
      </c>
    </row>
    <row r="27" s="89" customFormat="1" ht="16" hidden="1" customHeight="1" spans="1:8">
      <c r="A27" s="116"/>
      <c r="B27" s="114" t="s">
        <v>306</v>
      </c>
      <c r="C27" s="114"/>
      <c r="D27" s="114"/>
      <c r="E27" s="117"/>
      <c r="F27" s="103" t="s">
        <v>292</v>
      </c>
      <c r="G27" s="104" t="s">
        <v>293</v>
      </c>
      <c r="H27" s="89">
        <v>2</v>
      </c>
    </row>
    <row r="28" s="89" customFormat="1" ht="16" hidden="1" customHeight="1" spans="1:8">
      <c r="A28" s="114" t="s">
        <v>312</v>
      </c>
      <c r="B28" s="114" t="s">
        <v>307</v>
      </c>
      <c r="C28" s="107" t="s">
        <v>291</v>
      </c>
      <c r="D28" s="103" t="s">
        <v>292</v>
      </c>
      <c r="E28" s="104" t="s">
        <v>293</v>
      </c>
      <c r="F28" s="104" t="s">
        <v>293</v>
      </c>
      <c r="G28" s="104" t="s">
        <v>293</v>
      </c>
      <c r="H28" s="89">
        <v>2</v>
      </c>
    </row>
    <row r="29" s="89" customFormat="1" ht="16" hidden="1" customHeight="1" spans="1:8">
      <c r="A29" s="114" t="s">
        <v>308</v>
      </c>
      <c r="B29" s="114" t="s">
        <v>309</v>
      </c>
      <c r="C29" s="107" t="s">
        <v>291</v>
      </c>
      <c r="D29" s="107" t="s">
        <v>291</v>
      </c>
      <c r="E29" s="104" t="s">
        <v>293</v>
      </c>
      <c r="F29" s="104" t="s">
        <v>293</v>
      </c>
      <c r="G29" s="104" t="s">
        <v>293</v>
      </c>
      <c r="H29" s="89">
        <v>2</v>
      </c>
    </row>
    <row r="30" s="89" customFormat="1" ht="16" hidden="1" customHeight="1" spans="1:8">
      <c r="A30" s="108" t="s">
        <v>233</v>
      </c>
      <c r="B30" s="109" t="s">
        <v>304</v>
      </c>
      <c r="C30" s="96" t="s">
        <v>292</v>
      </c>
      <c r="D30" s="97" t="s">
        <v>293</v>
      </c>
      <c r="E30" s="97" t="s">
        <v>293</v>
      </c>
      <c r="F30" s="97" t="s">
        <v>293</v>
      </c>
      <c r="G30" s="97" t="s">
        <v>293</v>
      </c>
      <c r="H30" s="89">
        <v>3</v>
      </c>
    </row>
    <row r="31" s="89" customFormat="1" ht="16" hidden="1" customHeight="1" spans="1:8">
      <c r="A31" s="110"/>
      <c r="B31" s="109" t="s">
        <v>305</v>
      </c>
      <c r="C31" s="109"/>
      <c r="D31" s="96" t="s">
        <v>292</v>
      </c>
      <c r="E31" s="97" t="s">
        <v>293</v>
      </c>
      <c r="F31" s="97" t="s">
        <v>293</v>
      </c>
      <c r="G31" s="97" t="s">
        <v>293</v>
      </c>
      <c r="H31" s="89">
        <v>3</v>
      </c>
    </row>
    <row r="32" s="89" customFormat="1" ht="16" hidden="1" customHeight="1" spans="1:8">
      <c r="A32" s="111"/>
      <c r="B32" s="109" t="s">
        <v>306</v>
      </c>
      <c r="C32" s="109"/>
      <c r="D32" s="109"/>
      <c r="E32" s="109"/>
      <c r="F32" s="96" t="s">
        <v>292</v>
      </c>
      <c r="G32" s="97" t="s">
        <v>293</v>
      </c>
      <c r="H32" s="89">
        <v>3</v>
      </c>
    </row>
    <row r="33" s="89" customFormat="1" ht="16" hidden="1" customHeight="1" spans="1:8">
      <c r="A33" s="108" t="s">
        <v>313</v>
      </c>
      <c r="B33" s="109" t="s">
        <v>304</v>
      </c>
      <c r="C33" s="118" t="s">
        <v>291</v>
      </c>
      <c r="D33" s="97" t="s">
        <v>293</v>
      </c>
      <c r="E33" s="97" t="s">
        <v>293</v>
      </c>
      <c r="F33" s="97" t="s">
        <v>293</v>
      </c>
      <c r="G33" s="97" t="s">
        <v>293</v>
      </c>
      <c r="H33" s="89">
        <v>3</v>
      </c>
    </row>
    <row r="34" s="89" customFormat="1" ht="16" hidden="1" customHeight="1" spans="1:8">
      <c r="A34" s="110"/>
      <c r="B34" s="109" t="s">
        <v>305</v>
      </c>
      <c r="C34" s="109"/>
      <c r="D34" s="96" t="s">
        <v>292</v>
      </c>
      <c r="E34" s="97" t="s">
        <v>293</v>
      </c>
      <c r="F34" s="97" t="s">
        <v>293</v>
      </c>
      <c r="G34" s="97" t="s">
        <v>293</v>
      </c>
      <c r="H34" s="89">
        <v>3</v>
      </c>
    </row>
    <row r="35" s="89" customFormat="1" ht="16" hidden="1" customHeight="1" spans="1:8">
      <c r="A35" s="111"/>
      <c r="B35" s="109" t="s">
        <v>306</v>
      </c>
      <c r="C35" s="109"/>
      <c r="D35" s="109"/>
      <c r="E35" s="109"/>
      <c r="F35" s="96" t="s">
        <v>292</v>
      </c>
      <c r="G35" s="97" t="s">
        <v>293</v>
      </c>
      <c r="H35" s="89">
        <v>3</v>
      </c>
    </row>
    <row r="36" s="89" customFormat="1" ht="16" hidden="1" customHeight="1" spans="1:8">
      <c r="A36" s="109" t="s">
        <v>312</v>
      </c>
      <c r="B36" s="109" t="s">
        <v>307</v>
      </c>
      <c r="C36" s="118" t="s">
        <v>291</v>
      </c>
      <c r="D36" s="96" t="s">
        <v>292</v>
      </c>
      <c r="E36" s="97" t="s">
        <v>293</v>
      </c>
      <c r="F36" s="97" t="s">
        <v>293</v>
      </c>
      <c r="G36" s="97" t="s">
        <v>293</v>
      </c>
      <c r="H36" s="89">
        <v>3</v>
      </c>
    </row>
    <row r="37" s="89" customFormat="1" ht="16" hidden="1" customHeight="1" spans="1:8">
      <c r="A37" s="108" t="s">
        <v>314</v>
      </c>
      <c r="B37" s="109" t="s">
        <v>309</v>
      </c>
      <c r="C37" s="118" t="s">
        <v>291</v>
      </c>
      <c r="D37" s="118" t="s">
        <v>291</v>
      </c>
      <c r="E37" s="97" t="s">
        <v>293</v>
      </c>
      <c r="F37" s="97" t="s">
        <v>293</v>
      </c>
      <c r="G37" s="97" t="s">
        <v>293</v>
      </c>
      <c r="H37" s="89">
        <v>3</v>
      </c>
    </row>
    <row r="38" s="89" customFormat="1" ht="16" hidden="1" customHeight="1" spans="1:8">
      <c r="A38" s="110"/>
      <c r="B38" s="109" t="s">
        <v>315</v>
      </c>
      <c r="C38" s="109"/>
      <c r="D38" s="109"/>
      <c r="E38" s="118" t="s">
        <v>291</v>
      </c>
      <c r="F38" s="97" t="s">
        <v>293</v>
      </c>
      <c r="G38" s="97" t="s">
        <v>293</v>
      </c>
      <c r="H38" s="89">
        <v>3</v>
      </c>
    </row>
    <row r="39" s="89" customFormat="1" ht="16" hidden="1" customHeight="1" spans="1:8">
      <c r="A39" s="111"/>
      <c r="B39" s="109" t="s">
        <v>316</v>
      </c>
      <c r="C39" s="109"/>
      <c r="D39" s="109"/>
      <c r="E39" s="109"/>
      <c r="F39" s="118" t="s">
        <v>291</v>
      </c>
      <c r="G39" s="97" t="s">
        <v>293</v>
      </c>
      <c r="H39" s="89">
        <v>3</v>
      </c>
    </row>
    <row r="40" s="89" customFormat="1" ht="16" hidden="1" customHeight="1" spans="1:8">
      <c r="A40" s="108" t="s">
        <v>289</v>
      </c>
      <c r="B40" s="109" t="s">
        <v>317</v>
      </c>
      <c r="C40" s="118" t="s">
        <v>291</v>
      </c>
      <c r="D40" s="109"/>
      <c r="E40" s="109"/>
      <c r="F40" s="109"/>
      <c r="G40" s="109"/>
      <c r="H40" s="89">
        <v>3</v>
      </c>
    </row>
    <row r="41" s="89" customFormat="1" ht="16" hidden="1" customHeight="1" spans="1:8">
      <c r="A41" s="111"/>
      <c r="B41" s="109" t="s">
        <v>318</v>
      </c>
      <c r="C41" s="109"/>
      <c r="D41" s="96" t="s">
        <v>292</v>
      </c>
      <c r="E41" s="97" t="s">
        <v>293</v>
      </c>
      <c r="F41" s="97" t="s">
        <v>293</v>
      </c>
      <c r="G41" s="97" t="s">
        <v>293</v>
      </c>
      <c r="H41" s="89">
        <v>3</v>
      </c>
    </row>
    <row r="42" s="89" customFormat="1" ht="16" hidden="1" customHeight="1" spans="1:8">
      <c r="A42" s="108" t="s">
        <v>319</v>
      </c>
      <c r="B42" s="109" t="s">
        <v>320</v>
      </c>
      <c r="C42" s="109"/>
      <c r="D42" s="118" t="s">
        <v>291</v>
      </c>
      <c r="E42" s="96" t="s">
        <v>292</v>
      </c>
      <c r="F42" s="97" t="s">
        <v>293</v>
      </c>
      <c r="G42" s="97" t="s">
        <v>293</v>
      </c>
      <c r="H42" s="89">
        <v>3</v>
      </c>
    </row>
    <row r="43" hidden="1" spans="1:8">
      <c r="A43" s="111"/>
      <c r="B43" s="109" t="s">
        <v>315</v>
      </c>
      <c r="C43" s="109"/>
      <c r="D43" s="109"/>
      <c r="E43" s="109"/>
      <c r="F43" s="118" t="s">
        <v>291</v>
      </c>
      <c r="G43" s="96" t="s">
        <v>292</v>
      </c>
      <c r="H43" s="89">
        <v>3</v>
      </c>
    </row>
    <row r="44" hidden="1" spans="1:8">
      <c r="A44" s="108" t="s">
        <v>321</v>
      </c>
      <c r="B44" s="109" t="s">
        <v>320</v>
      </c>
      <c r="C44" s="109"/>
      <c r="D44" s="109"/>
      <c r="E44" s="118" t="s">
        <v>291</v>
      </c>
      <c r="F44" s="96" t="s">
        <v>292</v>
      </c>
      <c r="G44" s="97" t="s">
        <v>293</v>
      </c>
      <c r="H44" s="89">
        <v>3</v>
      </c>
    </row>
    <row r="45" hidden="1" spans="1:8">
      <c r="A45" s="111"/>
      <c r="B45" s="109" t="s">
        <v>315</v>
      </c>
      <c r="C45" s="109"/>
      <c r="D45" s="109"/>
      <c r="E45" s="109"/>
      <c r="F45" s="109"/>
      <c r="G45" s="96" t="s">
        <v>292</v>
      </c>
      <c r="H45" s="89">
        <v>3</v>
      </c>
    </row>
  </sheetData>
  <sheetProtection selectLockedCells="1"/>
  <mergeCells count="15">
    <mergeCell ref="A2:C2"/>
    <mergeCell ref="A3:B3"/>
    <mergeCell ref="A4:A6"/>
    <mergeCell ref="A7:A9"/>
    <mergeCell ref="A10:A12"/>
    <mergeCell ref="A13:A16"/>
    <mergeCell ref="A18:A21"/>
    <mergeCell ref="A22:A24"/>
    <mergeCell ref="A25:A27"/>
    <mergeCell ref="A30:A32"/>
    <mergeCell ref="A33:A35"/>
    <mergeCell ref="A37:A39"/>
    <mergeCell ref="A40:A41"/>
    <mergeCell ref="A42:A43"/>
    <mergeCell ref="A44:A45"/>
  </mergeCell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43" name="下拉框1" r:id="rId3">
              <controlPr defaultSize="0">
                <anchor moveWithCells="1">
                  <from>
                    <xdr:col>1</xdr:col>
                    <xdr:colOff>69850</xdr:colOff>
                    <xdr:row>0</xdr:row>
                    <xdr:rowOff>88900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5" tint="0.4"/>
    <pageSetUpPr fitToPage="1"/>
  </sheetPr>
  <dimension ref="B1:H39"/>
  <sheetViews>
    <sheetView tabSelected="1" zoomScale="85" zoomScaleNormal="85" workbookViewId="0">
      <selection activeCell="J7" sqref="J7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G7+G12+G32</f>
        <v>63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51" customHeight="1" spans="2:8">
      <c r="B4" s="12" t="s">
        <v>327</v>
      </c>
      <c r="C4" s="82" t="s">
        <v>328</v>
      </c>
      <c r="D4" s="82"/>
      <c r="E4" s="82"/>
      <c r="F4" s="82"/>
      <c r="G4" s="82"/>
      <c r="H4" s="5"/>
    </row>
    <row r="5" ht="30" customHeight="1" spans="2:8">
      <c r="B5" s="12" t="s">
        <v>329</v>
      </c>
      <c r="C5" s="83" t="s">
        <v>330</v>
      </c>
      <c r="D5" s="83"/>
      <c r="E5" s="18" t="s">
        <v>331</v>
      </c>
      <c r="F5" s="84">
        <v>45352</v>
      </c>
      <c r="G5" s="84"/>
      <c r="H5" s="5"/>
    </row>
    <row r="6" ht="30.75" spans="2:8">
      <c r="B6" s="21" t="s">
        <v>332</v>
      </c>
      <c r="C6" s="85" t="s">
        <v>333</v>
      </c>
      <c r="D6" s="86"/>
      <c r="E6" s="24" t="s">
        <v>334</v>
      </c>
      <c r="F6" s="87" t="s">
        <v>335</v>
      </c>
      <c r="G6" s="87"/>
      <c r="H6" s="5"/>
    </row>
    <row r="7" ht="24" customHeight="1" spans="2:7">
      <c r="B7" s="27" t="s">
        <v>336</v>
      </c>
      <c r="C7" s="28"/>
      <c r="D7" s="28"/>
      <c r="E7" s="28"/>
      <c r="F7" s="28"/>
      <c r="G7" s="29">
        <f>G9</f>
        <v>30</v>
      </c>
    </row>
    <row r="8" ht="24" customHeight="1" spans="2:7">
      <c r="B8" s="30" t="s">
        <v>337</v>
      </c>
      <c r="C8" s="31" t="s">
        <v>338</v>
      </c>
      <c r="D8" s="32"/>
      <c r="E8" s="32"/>
      <c r="F8" s="32"/>
      <c r="G8" s="33" t="s">
        <v>1</v>
      </c>
    </row>
    <row r="9" spans="2:7">
      <c r="B9" s="34">
        <v>1</v>
      </c>
      <c r="C9" s="88" t="s">
        <v>16</v>
      </c>
      <c r="D9" s="88"/>
      <c r="E9" s="88"/>
      <c r="F9" s="88"/>
      <c r="G9" s="37">
        <v>30</v>
      </c>
    </row>
    <row r="10" spans="2:7">
      <c r="B10" s="34">
        <v>2</v>
      </c>
      <c r="C10" s="35"/>
      <c r="D10" s="36"/>
      <c r="E10" s="36"/>
      <c r="F10" s="36"/>
      <c r="G10" s="37"/>
    </row>
    <row r="11" ht="15.75" spans="2:7">
      <c r="B11" s="34">
        <v>3</v>
      </c>
      <c r="C11" s="35"/>
      <c r="D11" s="36"/>
      <c r="E11" s="36"/>
      <c r="F11" s="36"/>
      <c r="G11" s="37"/>
    </row>
    <row r="12" ht="24" customHeight="1" spans="2:7">
      <c r="B12" s="2" t="s">
        <v>339</v>
      </c>
      <c r="C12" s="3"/>
      <c r="D12" s="3"/>
      <c r="E12" s="3"/>
      <c r="F12" s="3"/>
      <c r="G12" s="4">
        <f ca="1">SUM(G14:G30)</f>
        <v>6</v>
      </c>
    </row>
    <row r="13" ht="45" spans="2:7">
      <c r="B13" s="38" t="s">
        <v>340</v>
      </c>
      <c r="C13" s="39"/>
      <c r="D13" s="40" t="s">
        <v>208</v>
      </c>
      <c r="E13" s="41" t="s">
        <v>209</v>
      </c>
      <c r="F13" s="31" t="s">
        <v>210</v>
      </c>
      <c r="G13" s="33" t="s">
        <v>341</v>
      </c>
    </row>
    <row r="14" spans="2:7">
      <c r="B14" s="39" t="s">
        <v>221</v>
      </c>
      <c r="C14" s="39"/>
      <c r="D14" s="42">
        <v>1</v>
      </c>
      <c r="E14" s="42">
        <v>6</v>
      </c>
      <c r="F14" s="42">
        <v>0</v>
      </c>
      <c r="G14" s="43">
        <f>D14*参数表!B2+E14*参数表!C2+F14*参数表!D2</f>
        <v>0</v>
      </c>
    </row>
    <row r="15" spans="2:7">
      <c r="B15" s="39" t="s">
        <v>231</v>
      </c>
      <c r="C15" s="39"/>
      <c r="D15" s="42"/>
      <c r="E15" s="42"/>
      <c r="F15" s="42"/>
      <c r="G15" s="43">
        <f>D15*参数表!B3+E15*参数表!C3+F15*参数表!D3</f>
        <v>0</v>
      </c>
    </row>
    <row r="16" spans="2:7">
      <c r="B16" s="39" t="s">
        <v>240</v>
      </c>
      <c r="C16" s="39"/>
      <c r="D16" s="42"/>
      <c r="E16" s="42"/>
      <c r="F16" s="42"/>
      <c r="G16" s="43">
        <f>D16*参数表!B4+E16*参数表!C4+F16*参数表!D4</f>
        <v>0</v>
      </c>
    </row>
    <row r="17" spans="2:7">
      <c r="B17" s="39" t="s">
        <v>248</v>
      </c>
      <c r="C17" s="39"/>
      <c r="D17" s="42"/>
      <c r="E17" s="42"/>
      <c r="F17" s="42"/>
      <c r="G17" s="43">
        <f>D17*参数表!B5+E17*参数表!C5+F17*参数表!D5</f>
        <v>0</v>
      </c>
    </row>
    <row r="18" spans="2:7">
      <c r="B18" s="39" t="s">
        <v>255</v>
      </c>
      <c r="C18" s="39"/>
      <c r="D18" s="42"/>
      <c r="E18" s="42"/>
      <c r="F18" s="42"/>
      <c r="G18" s="43">
        <f>D18*参数表!B6+E18*参数表!C6+F17*参数表!D6</f>
        <v>0</v>
      </c>
    </row>
    <row r="19" spans="2:7">
      <c r="B19" s="39" t="s">
        <v>342</v>
      </c>
      <c r="C19" s="39"/>
      <c r="D19" s="42">
        <v>2</v>
      </c>
      <c r="E19" s="42"/>
      <c r="F19" s="42"/>
      <c r="G19" s="44"/>
    </row>
    <row r="20" spans="2:7">
      <c r="B20" s="39" t="s">
        <v>343</v>
      </c>
      <c r="C20" s="39"/>
      <c r="D20" s="45">
        <f>SUM(D14:F18)</f>
        <v>7</v>
      </c>
      <c r="E20" s="45"/>
      <c r="F20" s="45"/>
      <c r="G20" s="45">
        <f>IF(D20&lt;5,0,IF(D20&lt;8,1,IF(D20&lt;16,3,IF(D20&lt;24,5,IF(D20&lt;50,8,15)))))</f>
        <v>1</v>
      </c>
    </row>
    <row r="21" spans="2:7">
      <c r="B21" s="39" t="s">
        <v>211</v>
      </c>
      <c r="C21" s="39"/>
      <c r="D21" s="42" t="s">
        <v>222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spans="2:7">
      <c r="B22" s="39" t="s">
        <v>213</v>
      </c>
      <c r="C22" s="39"/>
      <c r="D22" s="42" t="s">
        <v>233</v>
      </c>
      <c r="E22" s="42"/>
      <c r="F22" s="42"/>
      <c r="G22" s="43">
        <f ca="1">IFERROR(OFFSET(左上角,MATCH(D22,OFFSET(左上角,1,MATCH(B22,表头,0)-1,COUNTA(OFFSET(左上角,1,MATCH(B22,表头,0)-1,65535,1)),1),0),MATCH(B22,表头,0)),0)</f>
        <v>5</v>
      </c>
    </row>
    <row r="23" ht="60" spans="2:7">
      <c r="B23" s="39" t="s">
        <v>340</v>
      </c>
      <c r="C23" s="39"/>
      <c r="D23" s="42" t="s">
        <v>265</v>
      </c>
      <c r="E23" s="42" t="s">
        <v>266</v>
      </c>
      <c r="F23" s="42" t="s">
        <v>267</v>
      </c>
      <c r="G23" s="44"/>
    </row>
    <row r="24" spans="2:7">
      <c r="B24" s="39" t="s">
        <v>271</v>
      </c>
      <c r="C24" s="39"/>
      <c r="D24" s="42">
        <v>1</v>
      </c>
      <c r="E24" s="42">
        <v>4</v>
      </c>
      <c r="F24" s="42">
        <v>0</v>
      </c>
      <c r="G24" s="43">
        <f>D24*参数表!B9+E24*参数表!C9+F24*参数表!D9</f>
        <v>0</v>
      </c>
    </row>
    <row r="25" spans="2:7">
      <c r="B25" s="39" t="s">
        <v>274</v>
      </c>
      <c r="C25" s="39"/>
      <c r="D25" s="42"/>
      <c r="E25" s="42"/>
      <c r="F25" s="42"/>
      <c r="G25" s="43">
        <f>D25*参数表!B10+E25*参数表!C10+F25*参数表!D10</f>
        <v>0</v>
      </c>
    </row>
    <row r="26" spans="2:7">
      <c r="B26" s="39" t="s">
        <v>276</v>
      </c>
      <c r="C26" s="39"/>
      <c r="D26" s="42"/>
      <c r="E26" s="42"/>
      <c r="F26" s="42"/>
      <c r="G26" s="43">
        <f>D26*参数表!B11+E26*参数表!C11+F26*参数表!D11</f>
        <v>0</v>
      </c>
    </row>
    <row r="27" spans="2:7">
      <c r="B27" s="39" t="s">
        <v>278</v>
      </c>
      <c r="C27" s="39"/>
      <c r="D27" s="42"/>
      <c r="E27" s="42"/>
      <c r="F27" s="42"/>
      <c r="G27" s="43">
        <f>D27*参数表!B12+E27*参数表!C12+F27*参数表!D12</f>
        <v>0</v>
      </c>
    </row>
    <row r="28" spans="2:7">
      <c r="B28" s="39" t="s">
        <v>280</v>
      </c>
      <c r="C28" s="39"/>
      <c r="D28" s="42"/>
      <c r="E28" s="42"/>
      <c r="F28" s="42"/>
      <c r="G28" s="43">
        <f>D28*参数表!B13+E28*参数表!C13+F28*参数表!D13</f>
        <v>0</v>
      </c>
    </row>
    <row r="29" ht="45" spans="2:7">
      <c r="B29" s="39" t="s">
        <v>344</v>
      </c>
      <c r="C29" s="39"/>
      <c r="D29" s="42" t="s">
        <v>345</v>
      </c>
      <c r="E29" s="42" t="s">
        <v>346</v>
      </c>
      <c r="F29" s="42" t="s">
        <v>347</v>
      </c>
      <c r="G29" s="44"/>
    </row>
    <row r="30" spans="2:7">
      <c r="B30" s="39" t="s">
        <v>340</v>
      </c>
      <c r="C30" s="39"/>
      <c r="D30" s="42">
        <v>5</v>
      </c>
      <c r="E30" s="42"/>
      <c r="F30" s="42"/>
      <c r="G30" s="43">
        <f>D30*参数表!F9+E30*参数表!F10+F30*参数表!F11</f>
        <v>0</v>
      </c>
    </row>
    <row r="31" ht="35" customHeight="1" spans="2:7">
      <c r="B31" s="39" t="s">
        <v>348</v>
      </c>
      <c r="C31" s="39"/>
      <c r="D31" s="42">
        <v>0</v>
      </c>
      <c r="E31" s="42"/>
      <c r="F31" s="42"/>
      <c r="G31" s="43" t="str">
        <f>IF(D31&lt;=0,"正常作业","禁止作业")</f>
        <v>正常作业</v>
      </c>
    </row>
    <row r="32" ht="24" customHeight="1" spans="2:7">
      <c r="B32" s="46" t="s">
        <v>349</v>
      </c>
      <c r="C32" s="46"/>
      <c r="D32" s="46"/>
      <c r="E32" s="46"/>
      <c r="F32" s="46"/>
      <c r="G32" s="47">
        <f ca="1">SUM(G33:G39)</f>
        <v>27</v>
      </c>
    </row>
    <row r="33" spans="2:7">
      <c r="B33" s="39" t="s">
        <v>214</v>
      </c>
      <c r="C33" s="39"/>
      <c r="D33" s="42" t="s">
        <v>224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215</v>
      </c>
      <c r="C34" s="39"/>
      <c r="D34" s="42" t="s">
        <v>262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15</v>
      </c>
    </row>
    <row r="35" spans="2:7">
      <c r="B35" s="39" t="s">
        <v>216</v>
      </c>
      <c r="C35" s="39"/>
      <c r="D35" s="42" t="s">
        <v>258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10</v>
      </c>
    </row>
    <row r="36" spans="2:7">
      <c r="B36" s="39" t="s">
        <v>217</v>
      </c>
      <c r="C36" s="39"/>
      <c r="D36" s="42" t="s">
        <v>227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218</v>
      </c>
      <c r="C37" s="39"/>
      <c r="D37" s="42" t="s">
        <v>238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2</v>
      </c>
    </row>
    <row r="38" spans="2:7">
      <c r="B38" s="39" t="s">
        <v>219</v>
      </c>
      <c r="C38" s="39"/>
      <c r="D38" s="42" t="s">
        <v>229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  <row r="39" spans="2:7">
      <c r="B39" s="39" t="s">
        <v>220</v>
      </c>
      <c r="C39" s="39"/>
      <c r="D39" s="42" t="s">
        <v>230</v>
      </c>
      <c r="E39" s="42"/>
      <c r="F39" s="42"/>
      <c r="G39" s="43">
        <f ca="1">IFERROR(OFFSET(左上角,MATCH(D39,OFFSET(左上角,1,MATCH(B39,表头,0)-1,COUNTA(OFFSET(左上角,1,MATCH(B39,表头,0)-1,65535,1)),1),0),MATCH(B39,表头,0)),0)</f>
        <v>0</v>
      </c>
    </row>
  </sheetData>
  <sheetProtection selectLockedCells="1"/>
  <protectedRanges>
    <protectedRange sqref="D4:E4 B3:C6 B2:C2 E2:G2 E3 E5:G5 E6" name="区域1"/>
    <protectedRange sqref="F3" name="区域1_1"/>
    <protectedRange sqref="F6:G6" name="区域1_2"/>
  </protectedRanges>
  <mergeCells count="53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C11:F11"/>
    <mergeCell ref="B12:F12"/>
    <mergeCell ref="B13:C13"/>
    <mergeCell ref="B14:C14"/>
    <mergeCell ref="B15:C15"/>
    <mergeCell ref="B16:C16"/>
    <mergeCell ref="B17:C17"/>
    <mergeCell ref="B18:C18"/>
    <mergeCell ref="B19:C19"/>
    <mergeCell ref="D19:F19"/>
    <mergeCell ref="B20:C20"/>
    <mergeCell ref="D20:F20"/>
    <mergeCell ref="B21:C21"/>
    <mergeCell ref="D21:F21"/>
    <mergeCell ref="B22:C22"/>
    <mergeCell ref="D22:F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D31:F31"/>
    <mergeCell ref="B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  <mergeCell ref="B39:C39"/>
    <mergeCell ref="D39:F39"/>
  </mergeCells>
  <conditionalFormatting sqref="G39">
    <cfRule type="cellIs" dxfId="1" priority="1" operator="equal">
      <formula>0</formula>
    </cfRule>
  </conditionalFormatting>
  <conditionalFormatting sqref="G14:G18 D20:G20 G21:G22 G24:G28 G30:G31 G33:G38">
    <cfRule type="cellIs" dxfId="1" priority="2" operator="equal">
      <formula>0</formula>
    </cfRule>
  </conditionalFormatting>
  <dataValidations count="5">
    <dataValidation type="list" allowBlank="1" showInputMessage="1" showErrorMessage="1" sqref="D21:F21">
      <formula1>参数表!$E$2:$E$3</formula1>
    </dataValidation>
    <dataValidation type="list" allowBlank="1" showInputMessage="1" showErrorMessage="1" sqref="D22:E22 F22 F33:F34 F35:F36 F37:F38 D33:E34 D35:E36 D37:E38">
      <formula1>OFFSET(左上角,1,MATCH(B22,表头,0)-1,COUNTA(OFFSET(左上角,1,MATCH(B22,表头,0)-1,65535,1)),1)</formula1>
    </dataValidation>
    <dataValidation allowBlank="1" showInputMessage="1" showErrorMessage="1" sqref="D23:F23 D29 E29 F29 D30:F30 D31:F31"/>
    <dataValidation type="list" allowBlank="1" showInputMessage="1" showErrorMessage="1" sqref="D39:F39">
      <formula1>参数表!$U$2:$U$3</formula1>
    </dataValidation>
    <dataValidation type="list" allowBlank="1" showInputMessage="1" showErrorMessage="1" sqref="G39 G33:G34 G35:G36 G37:G38">
      <formula1>OFFSET(左上角,1,MATCH(D33,表头,0)-1,COUNTA(OFFSET(左上角,1,MATCH(D33,表头,0)-1,65535,1)),1)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2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name="Button 10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5" tint="0.4"/>
    <pageSetUpPr fitToPage="1"/>
  </sheetPr>
  <dimension ref="B1:H38"/>
  <sheetViews>
    <sheetView zoomScale="85" zoomScaleNormal="85" topLeftCell="A16" workbookViewId="0">
      <selection activeCell="C4" sqref="C4:G4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102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102" customHeight="1" spans="2:8">
      <c r="B4" s="12" t="s">
        <v>327</v>
      </c>
      <c r="C4" s="13" t="s">
        <v>350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351</v>
      </c>
      <c r="D5" s="17"/>
      <c r="E5" s="18" t="s">
        <v>331</v>
      </c>
      <c r="F5" s="19">
        <v>44702</v>
      </c>
      <c r="G5" s="20"/>
      <c r="H5" s="5"/>
    </row>
    <row r="6" ht="30.75" spans="2:8">
      <c r="B6" s="21" t="s">
        <v>332</v>
      </c>
      <c r="C6" s="22" t="s">
        <v>352</v>
      </c>
      <c r="D6" s="23"/>
      <c r="E6" s="24" t="s">
        <v>334</v>
      </c>
      <c r="F6" s="25">
        <v>13580477976</v>
      </c>
      <c r="G6" s="26"/>
      <c r="H6" s="5"/>
    </row>
    <row r="7" ht="24" customHeight="1" spans="2:7">
      <c r="B7" s="27" t="s">
        <v>336</v>
      </c>
      <c r="C7" s="28"/>
      <c r="D7" s="28"/>
      <c r="E7" s="28"/>
      <c r="F7" s="28"/>
      <c r="G7" s="29">
        <v>70</v>
      </c>
    </row>
    <row r="8" ht="24" customHeight="1" spans="2:7">
      <c r="B8" s="30" t="s">
        <v>337</v>
      </c>
      <c r="C8" s="31" t="s">
        <v>338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353</v>
      </c>
      <c r="D9" s="36"/>
      <c r="E9" s="36"/>
      <c r="F9" s="36"/>
      <c r="G9" s="37">
        <v>70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339</v>
      </c>
      <c r="C11" s="3"/>
      <c r="D11" s="3"/>
      <c r="E11" s="3"/>
      <c r="F11" s="3"/>
      <c r="G11" s="4">
        <f ca="1">SUM(G13:G29)</f>
        <v>20</v>
      </c>
    </row>
    <row r="12" ht="45" spans="2:7">
      <c r="B12" s="38" t="s">
        <v>340</v>
      </c>
      <c r="C12" s="39"/>
      <c r="D12" s="40" t="s">
        <v>208</v>
      </c>
      <c r="E12" s="41" t="s">
        <v>209</v>
      </c>
      <c r="F12" s="31" t="s">
        <v>210</v>
      </c>
      <c r="G12" s="33" t="s">
        <v>341</v>
      </c>
    </row>
    <row r="13" spans="2:7">
      <c r="B13" s="39" t="s">
        <v>221</v>
      </c>
      <c r="C13" s="39"/>
      <c r="D13" s="42">
        <v>1</v>
      </c>
      <c r="E13" s="42">
        <v>60</v>
      </c>
      <c r="F13" s="42">
        <v>2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342</v>
      </c>
      <c r="C18" s="39"/>
      <c r="D18" s="42">
        <v>20</v>
      </c>
      <c r="E18" s="42"/>
      <c r="F18" s="42"/>
      <c r="G18" s="44"/>
    </row>
    <row r="19" spans="2:7">
      <c r="B19" s="39" t="s">
        <v>343</v>
      </c>
      <c r="C19" s="39"/>
      <c r="D19" s="45">
        <f>SUM(D13:F17)</f>
        <v>63</v>
      </c>
      <c r="E19" s="45"/>
      <c r="F19" s="45"/>
      <c r="G19" s="45">
        <f>IF(D19&lt;5,0,IF(D19&lt;8,1,IF(D19&lt;16,3,IF(D19&lt;24,5,IF(D19&lt;50,8,15)))))</f>
        <v>15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340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60</v>
      </c>
      <c r="F23" s="42">
        <v>2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344</v>
      </c>
      <c r="C28" s="39"/>
      <c r="D28" s="42" t="s">
        <v>345</v>
      </c>
      <c r="E28" s="42" t="s">
        <v>346</v>
      </c>
      <c r="F28" s="42" t="s">
        <v>347</v>
      </c>
      <c r="G28" s="44"/>
    </row>
    <row r="29" spans="2:7">
      <c r="B29" s="39" t="s">
        <v>340</v>
      </c>
      <c r="C29" s="39"/>
      <c r="D29" s="42">
        <v>63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348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349</v>
      </c>
      <c r="C31" s="46"/>
      <c r="D31" s="46"/>
      <c r="E31" s="46"/>
      <c r="F31" s="46"/>
      <c r="G31" s="47">
        <f ca="1">SUM(G32:G38)</f>
        <v>12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225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5:G6 E2:G2 E3" name="区域1"/>
    <protectedRange sqref="F3" name="区域1_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6305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5" tint="0.4"/>
    <pageSetUpPr fitToPage="1"/>
  </sheetPr>
  <dimension ref="B1:H38"/>
  <sheetViews>
    <sheetView zoomScale="85" zoomScaleNormal="85" topLeftCell="A4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163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354</v>
      </c>
      <c r="G3" s="11"/>
      <c r="H3" s="5"/>
    </row>
    <row r="4" ht="102" customHeight="1" spans="2:8">
      <c r="B4" s="12" t="s">
        <v>327</v>
      </c>
      <c r="C4" s="13" t="s">
        <v>355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356</v>
      </c>
      <c r="D5" s="17"/>
      <c r="E5" s="18" t="s">
        <v>331</v>
      </c>
      <c r="F5" s="19">
        <v>44635</v>
      </c>
      <c r="G5" s="20"/>
      <c r="H5" s="5"/>
    </row>
    <row r="6" ht="30.75" spans="2:8">
      <c r="B6" s="21" t="s">
        <v>332</v>
      </c>
      <c r="C6" s="22" t="s">
        <v>357</v>
      </c>
      <c r="D6" s="23"/>
      <c r="E6" s="24" t="s">
        <v>334</v>
      </c>
      <c r="F6" s="25">
        <v>13422170744</v>
      </c>
      <c r="G6" s="26"/>
      <c r="H6" s="5"/>
    </row>
    <row r="7" ht="24" customHeight="1" spans="2:7">
      <c r="B7" s="27" t="s">
        <v>336</v>
      </c>
      <c r="C7" s="28"/>
      <c r="D7" s="28"/>
      <c r="E7" s="28"/>
      <c r="F7" s="28"/>
      <c r="G7" s="29">
        <f>G9</f>
        <v>130</v>
      </c>
    </row>
    <row r="8" ht="24" customHeight="1" spans="2:7">
      <c r="B8" s="30" t="s">
        <v>337</v>
      </c>
      <c r="C8" s="31" t="s">
        <v>338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142</v>
      </c>
      <c r="D9" s="36"/>
      <c r="E9" s="36"/>
      <c r="F9" s="36"/>
      <c r="G9" s="37">
        <v>130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339</v>
      </c>
      <c r="C11" s="3"/>
      <c r="D11" s="3"/>
      <c r="E11" s="3"/>
      <c r="F11" s="3"/>
      <c r="G11" s="4">
        <f ca="1">SUM(G13:G29)</f>
        <v>6</v>
      </c>
    </row>
    <row r="12" ht="45" spans="2:7">
      <c r="B12" s="38" t="s">
        <v>340</v>
      </c>
      <c r="C12" s="39"/>
      <c r="D12" s="40" t="s">
        <v>208</v>
      </c>
      <c r="E12" s="41" t="s">
        <v>209</v>
      </c>
      <c r="F12" s="31" t="s">
        <v>210</v>
      </c>
      <c r="G12" s="33" t="s">
        <v>341</v>
      </c>
    </row>
    <row r="13" spans="2:7">
      <c r="B13" s="39" t="s">
        <v>221</v>
      </c>
      <c r="C13" s="39"/>
      <c r="D13" s="42">
        <v>1</v>
      </c>
      <c r="E13" s="42">
        <v>3</v>
      </c>
      <c r="F13" s="42">
        <v>1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342</v>
      </c>
      <c r="C18" s="39"/>
      <c r="D18" s="42">
        <v>2</v>
      </c>
      <c r="E18" s="42"/>
      <c r="F18" s="42"/>
      <c r="G18" s="44"/>
    </row>
    <row r="19" spans="2:7">
      <c r="B19" s="39" t="s">
        <v>343</v>
      </c>
      <c r="C19" s="39"/>
      <c r="D19" s="45">
        <f>SUM(D13:F17)</f>
        <v>5</v>
      </c>
      <c r="E19" s="45"/>
      <c r="F19" s="45"/>
      <c r="G19" s="45">
        <f>IF(D19&lt;5,0,IF(D19&lt;8,1,IF(D19&lt;16,3,IF(D19&lt;24,5,IF(D19&lt;50,8,15)))))</f>
        <v>1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340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3</v>
      </c>
      <c r="F23" s="42">
        <v>1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344</v>
      </c>
      <c r="C28" s="39"/>
      <c r="D28" s="42" t="s">
        <v>345</v>
      </c>
      <c r="E28" s="42" t="s">
        <v>346</v>
      </c>
      <c r="F28" s="42" t="s">
        <v>347</v>
      </c>
      <c r="G28" s="44"/>
    </row>
    <row r="29" spans="2:7">
      <c r="B29" s="39" t="s">
        <v>340</v>
      </c>
      <c r="C29" s="39"/>
      <c r="D29" s="42">
        <v>4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348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349</v>
      </c>
      <c r="C31" s="46"/>
      <c r="D31" s="46"/>
      <c r="E31" s="46"/>
      <c r="F31" s="46"/>
      <c r="G31" s="47">
        <f ca="1">SUM(G32:G38)</f>
        <v>27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262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15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2:G2 E3 E5:G5 E6" name="区域1"/>
    <protectedRange sqref="F3" name="区域1_1"/>
    <protectedRange sqref="F6:G6" name="区域1_2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7329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70AD47"/>
  </sheetPr>
  <dimension ref="B1:I12"/>
  <sheetViews>
    <sheetView workbookViewId="0">
      <selection activeCell="D2" sqref="D2"/>
    </sheetView>
  </sheetViews>
  <sheetFormatPr defaultColWidth="9" defaultRowHeight="15"/>
  <cols>
    <col min="1" max="1" width="2.62962962962963" style="51" customWidth="1"/>
    <col min="2" max="2" width="8.62962962962963" style="51" customWidth="1"/>
    <col min="3" max="8" width="15.6296296296296" style="51" customWidth="1"/>
    <col min="9" max="16384" width="9" style="51"/>
  </cols>
  <sheetData>
    <row r="1" s="48" customFormat="1" ht="16.35"/>
    <row r="2" s="48" customFormat="1" ht="24" customHeight="1" spans="2:6">
      <c r="B2" s="52" t="s">
        <v>358</v>
      </c>
      <c r="C2" s="53"/>
      <c r="D2" s="54">
        <v>70</v>
      </c>
      <c r="E2" s="55" t="s">
        <v>359</v>
      </c>
      <c r="F2" s="56" t="str">
        <f>IF(D2&lt;20,"五级
（可接受风险）",IF(D2&lt;70,"四级
（低风险）",IF(D2&lt;200,"三级
（中等风险）",IF(D2&lt;400,"二级
（高风险）","一级
（特高风险）"))))</f>
        <v>三级
（中等风险）</v>
      </c>
    </row>
    <row r="3" s="48" customFormat="1" ht="24" customHeight="1" spans="2:6">
      <c r="B3" s="57" t="s">
        <v>360</v>
      </c>
      <c r="C3" s="58"/>
      <c r="D3" s="59">
        <v>0</v>
      </c>
      <c r="E3" s="60"/>
      <c r="F3" s="61"/>
    </row>
    <row r="4" s="48" customFormat="1" ht="24" customHeight="1" spans="2:6">
      <c r="B4" s="62" t="s">
        <v>361</v>
      </c>
      <c r="C4" s="63"/>
      <c r="D4" s="64">
        <v>32</v>
      </c>
      <c r="E4" s="65"/>
      <c r="F4" s="66"/>
    </row>
    <row r="5" s="48" customFormat="1" ht="30.75" spans="2:6">
      <c r="B5" s="67" t="s">
        <v>323</v>
      </c>
      <c r="C5" s="68" t="s">
        <v>362</v>
      </c>
      <c r="D5" s="69"/>
      <c r="E5" s="70" t="s">
        <v>325</v>
      </c>
      <c r="F5" s="71" t="s">
        <v>363</v>
      </c>
    </row>
    <row r="6" s="49" customFormat="1" ht="100" customHeight="1" spans="2:9">
      <c r="B6" s="12" t="s">
        <v>327</v>
      </c>
      <c r="C6" s="13" t="s">
        <v>364</v>
      </c>
      <c r="D6" s="13"/>
      <c r="E6" s="13"/>
      <c r="F6" s="15"/>
      <c r="I6" s="81"/>
    </row>
    <row r="7" s="48" customFormat="1" ht="30" customHeight="1" spans="2:6">
      <c r="B7" s="72" t="s">
        <v>329</v>
      </c>
      <c r="C7" s="73" t="s">
        <v>365</v>
      </c>
      <c r="D7" s="74"/>
      <c r="E7" s="75" t="s">
        <v>331</v>
      </c>
      <c r="F7" s="76">
        <v>44511</v>
      </c>
    </row>
    <row r="8" s="48" customFormat="1" ht="16.35"/>
    <row r="9" s="50" customFormat="1" ht="24" customHeight="1" spans="2:4">
      <c r="B9" s="77" t="s">
        <v>366</v>
      </c>
      <c r="C9" s="77"/>
      <c r="D9" s="78">
        <v>1</v>
      </c>
    </row>
    <row r="10" s="48" customFormat="1" ht="15.6" spans="2:6">
      <c r="B10" s="79"/>
      <c r="C10" s="79"/>
      <c r="D10" s="79"/>
      <c r="E10" s="80"/>
      <c r="F10" s="80"/>
    </row>
    <row r="11" s="48" customFormat="1" ht="24" customHeight="1" spans="2:6">
      <c r="B11" s="77" t="s">
        <v>337</v>
      </c>
      <c r="C11" s="77" t="s">
        <v>367</v>
      </c>
      <c r="D11" s="77" t="s">
        <v>368</v>
      </c>
      <c r="E11" s="77" t="s">
        <v>369</v>
      </c>
      <c r="F11" s="77" t="s">
        <v>334</v>
      </c>
    </row>
    <row r="12" spans="2:6">
      <c r="B12" s="77">
        <v>1</v>
      </c>
      <c r="C12" s="77">
        <f>工作票1!$D$29</f>
        <v>0</v>
      </c>
      <c r="D12" s="77">
        <f ca="1">工作票1!$G$2</f>
        <v>0</v>
      </c>
      <c r="E12" s="77" t="str">
        <f>工作票1!$C$6</f>
        <v>罗永浩</v>
      </c>
      <c r="F12" s="77">
        <f>工作票1!$F$6</f>
        <v>13012345678</v>
      </c>
    </row>
  </sheetData>
  <sheetProtection selectLockedCells="1"/>
  <protectedRanges>
    <protectedRange sqref="D6:E6 B4 B5:C7 D4 E5:F7 B2:E2 F2:F4" name="区域1"/>
  </protectedRanges>
  <mergeCells count="9">
    <mergeCell ref="B2:C2"/>
    <mergeCell ref="B3:C3"/>
    <mergeCell ref="B4:C4"/>
    <mergeCell ref="C5:D5"/>
    <mergeCell ref="C6:F6"/>
    <mergeCell ref="C7:D7"/>
    <mergeCell ref="B9:C9"/>
    <mergeCell ref="E2:E4"/>
    <mergeCell ref="F2:F4"/>
  </mergeCells>
  <dataValidations count="1">
    <dataValidation type="list" allowBlank="1" showInputMessage="1" showErrorMessage="1" sqref="D9">
      <formula1>"1,2,3,4,5,6,7,8,9,10"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name="Button 2" r:id="rId3">
              <controlPr print="0" defaultSize="0">
                <anchor moveWithCells="1">
                  <from>
                    <xdr:col>4</xdr:col>
                    <xdr:colOff>85725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FFFFFF"/>
  </sheetPr>
  <dimension ref="B1:H38"/>
  <sheetViews>
    <sheetView zoomScale="85" zoomScaleNormal="85" topLeftCell="A2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0</v>
      </c>
      <c r="H2" s="5"/>
    </row>
    <row r="3" ht="30" spans="2:8">
      <c r="B3" s="6" t="s">
        <v>323</v>
      </c>
      <c r="C3" s="7" t="s">
        <v>370</v>
      </c>
      <c r="D3" s="8"/>
      <c r="E3" s="9" t="s">
        <v>325</v>
      </c>
      <c r="F3" s="10" t="s">
        <v>363</v>
      </c>
      <c r="G3" s="11"/>
      <c r="H3" s="5"/>
    </row>
    <row r="4" ht="102" customHeight="1" spans="2:8">
      <c r="B4" s="12" t="s">
        <v>327</v>
      </c>
      <c r="C4" s="13" t="s">
        <v>371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365</v>
      </c>
      <c r="D5" s="17"/>
      <c r="E5" s="18" t="s">
        <v>331</v>
      </c>
      <c r="F5" s="19">
        <v>44511</v>
      </c>
      <c r="G5" s="20"/>
      <c r="H5" s="5"/>
    </row>
    <row r="6" ht="30.75" spans="2:8">
      <c r="B6" s="21" t="s">
        <v>332</v>
      </c>
      <c r="C6" s="22" t="s">
        <v>372</v>
      </c>
      <c r="D6" s="23"/>
      <c r="E6" s="24" t="s">
        <v>334</v>
      </c>
      <c r="F6" s="25">
        <v>13012345678</v>
      </c>
      <c r="G6" s="26"/>
      <c r="H6" s="5"/>
    </row>
    <row r="7" ht="24" customHeight="1" spans="2:7">
      <c r="B7" s="27" t="s">
        <v>336</v>
      </c>
      <c r="C7" s="28"/>
      <c r="D7" s="28"/>
      <c r="E7" s="28"/>
      <c r="F7" s="28"/>
      <c r="G7" s="29">
        <v>0</v>
      </c>
    </row>
    <row r="8" ht="24" customHeight="1" spans="2:7">
      <c r="B8" s="30" t="s">
        <v>337</v>
      </c>
      <c r="C8" s="31" t="s">
        <v>338</v>
      </c>
      <c r="D8" s="32"/>
      <c r="E8" s="32"/>
      <c r="F8" s="32"/>
      <c r="G8" s="33" t="s">
        <v>1</v>
      </c>
    </row>
    <row r="9" spans="2:7">
      <c r="B9" s="34"/>
      <c r="C9" s="35"/>
      <c r="D9" s="36"/>
      <c r="E9" s="36"/>
      <c r="F9" s="36"/>
      <c r="G9" s="37"/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339</v>
      </c>
      <c r="C11" s="3"/>
      <c r="D11" s="3"/>
      <c r="E11" s="3"/>
      <c r="F11" s="3"/>
      <c r="G11" s="4">
        <f ca="1">SUM(G13:G29)</f>
        <v>0</v>
      </c>
    </row>
    <row r="12" ht="45" spans="2:7">
      <c r="B12" s="38" t="s">
        <v>340</v>
      </c>
      <c r="C12" s="39"/>
      <c r="D12" s="40" t="s">
        <v>208</v>
      </c>
      <c r="E12" s="41" t="s">
        <v>209</v>
      </c>
      <c r="F12" s="31" t="s">
        <v>210</v>
      </c>
      <c r="G12" s="33" t="s">
        <v>341</v>
      </c>
    </row>
    <row r="13" spans="2:7">
      <c r="B13" s="39" t="s">
        <v>221</v>
      </c>
      <c r="C13" s="39"/>
      <c r="D13" s="42"/>
      <c r="E13" s="42"/>
      <c r="F13" s="42"/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342</v>
      </c>
      <c r="C18" s="39"/>
      <c r="D18" s="42"/>
      <c r="E18" s="42"/>
      <c r="F18" s="42"/>
      <c r="G18" s="44"/>
    </row>
    <row r="19" spans="2:7">
      <c r="B19" s="39" t="s">
        <v>343</v>
      </c>
      <c r="C19" s="39"/>
      <c r="D19" s="45">
        <f>SUM(D13:F17)</f>
        <v>0</v>
      </c>
      <c r="E19" s="45"/>
      <c r="F19" s="45"/>
      <c r="G19" s="45">
        <f>IF(D19&lt;5,0,IF(D19&lt;8,1,IF(D19&lt;16,3,IF(D19&lt;24,5,IF(D19&lt;50,8,15)))))</f>
        <v>0</v>
      </c>
    </row>
    <row r="20" spans="2:7">
      <c r="B20" s="39" t="s">
        <v>211</v>
      </c>
      <c r="C20" s="39"/>
      <c r="D20" s="42"/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/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ht="60" spans="2:7">
      <c r="B22" s="39" t="s">
        <v>340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/>
      <c r="E23" s="42"/>
      <c r="F23" s="42"/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344</v>
      </c>
      <c r="C28" s="39"/>
      <c r="D28" s="42" t="s">
        <v>345</v>
      </c>
      <c r="E28" s="42" t="s">
        <v>346</v>
      </c>
      <c r="F28" s="42" t="s">
        <v>347</v>
      </c>
      <c r="G28" s="44"/>
    </row>
    <row r="29" spans="2:7">
      <c r="B29" s="39" t="s">
        <v>340</v>
      </c>
      <c r="C29" s="39"/>
      <c r="D29" s="42"/>
      <c r="E29" s="42"/>
      <c r="F29" s="42"/>
      <c r="G29" s="43">
        <f>D29*参数表!F9+E29*参数表!F10+F29*参数表!F11</f>
        <v>0</v>
      </c>
    </row>
    <row r="30" spans="2:7">
      <c r="B30" s="39" t="s">
        <v>348</v>
      </c>
      <c r="C30" s="39"/>
      <c r="D30" s="42"/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349</v>
      </c>
      <c r="C31" s="46"/>
      <c r="D31" s="46"/>
      <c r="E31" s="46"/>
      <c r="F31" s="46"/>
      <c r="G31" s="47">
        <f ca="1">SUM(G32:G38)</f>
        <v>0</v>
      </c>
    </row>
    <row r="32" spans="2:7">
      <c r="B32" s="39" t="s">
        <v>214</v>
      </c>
      <c r="C32" s="39"/>
      <c r="D32" s="42"/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/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/>
      <c r="E34" s="42"/>
      <c r="F34" s="42"/>
      <c r="G34" s="43">
        <f ca="1">IFERROR(OFFSET(左上角,MATCH(D34,OFFSET(左上角,1,MATCH(B34,表头,0)-1,COUNTA(OFFSET(左上角,1,MATCH(B34,表头,0)-1,65535,1)),1),0),MATCH(B34,表头,0)),0)</f>
        <v>0</v>
      </c>
    </row>
    <row r="35" spans="2:7">
      <c r="B35" s="39" t="s">
        <v>217</v>
      </c>
      <c r="C35" s="39"/>
      <c r="D35" s="42"/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/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219</v>
      </c>
      <c r="C37" s="39"/>
      <c r="D37" s="42"/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/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E3:F3 B2:C6 E5:G6 E2:G2" name="区域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5281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837565</xdr:colOff>
                    <xdr:row>7</xdr:row>
                    <xdr:rowOff>285115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/>
  <rangeList sheetStid="2" master=""/>
  <rangeList sheetStid="523" master=""/>
  <rangeList sheetStid="3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525" master="">
    <arrUserId title="区域1" rangeCreator="" othersAccessPermission="edit"/>
    <arrUserId title="区域1_1" rangeCreator="" othersAccessPermission="edit"/>
  </rangeList>
  <rangeList sheetStid="526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4" master="">
    <arrUserId title="区域1" rangeCreator="" othersAccessPermission="edit"/>
  </rangeList>
  <rangeList sheetStid="524" master="">
    <arrUserId title="区域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CSG</Company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作业项目清单</vt:lpstr>
      <vt:lpstr>参数表</vt:lpstr>
      <vt:lpstr>督查要求</vt:lpstr>
      <vt:lpstr>工作票(模板)</vt:lpstr>
      <vt:lpstr>工作票(模板) (2)</vt:lpstr>
      <vt:lpstr>工作票(模板) (3)</vt:lpstr>
      <vt:lpstr>汇总</vt:lpstr>
      <vt:lpstr>工作票1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Clément </cp:lastModifiedBy>
  <dcterms:created xsi:type="dcterms:W3CDTF">2014-07-21T12:50:00Z</dcterms:created>
  <cp:lastPrinted>2014-07-25T04:46:00Z</cp:lastPrinted>
  <dcterms:modified xsi:type="dcterms:W3CDTF">2024-03-19T06:05:07Z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2052-12.1.0.16250</vt:lpwstr>
  </property>
  <property fmtid="{D5CDD505-2E9C-101B-9397-08002B2CF9AE}" pid="3" name="ICV">
    <vt:lpwstr>202B1DD9C2B54620BC11CE1A3E1E3A3A_13</vt:lpwstr>
  </property>
</Properties>
</file>