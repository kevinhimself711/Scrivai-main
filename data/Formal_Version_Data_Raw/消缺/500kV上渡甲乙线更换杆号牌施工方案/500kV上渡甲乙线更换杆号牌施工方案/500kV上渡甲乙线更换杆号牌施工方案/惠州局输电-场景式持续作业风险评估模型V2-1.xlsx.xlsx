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10480"/>
  </bookViews>
  <sheets>
    <sheet name="风险评估模型1（单张票作业）" sheetId="5" r:id="rId1"/>
    <sheet name="典型作业项目库（不能删除）" sheetId="2" r:id="rId2"/>
    <sheet name="作业人员能力（不能删除）" sheetId="3" r:id="rId3"/>
    <sheet name="作业环境和时间影响风险（不能删除）" sheetId="4" r:id="rId4"/>
  </sheets>
  <definedNames>
    <definedName name="_xlnm._FilterDatabase" localSheetId="1" hidden="1">'典型作业项目库（不能删除）'!$A$2:$I$199</definedName>
    <definedName name="_xlnm._FilterDatabase" localSheetId="2" hidden="1">'作业人员能力（不能删除）'!$A$3:$P$9</definedName>
    <definedName name="_xlnm._FilterDatabase" localSheetId="3" hidden="1">'作业环境和时间影响风险（不能删除）'!$A$3:$L$11</definedName>
    <definedName name="选择" localSheetId="1">#REF!</definedName>
    <definedName name="架空线路停电清抹玻璃绝缘子" localSheetId="1">#REF!</definedName>
    <definedName name="_xlnm._FilterDatabase" localSheetId="0" hidden="1">'风险评估模型1（单张票作业）'!$A$3:$I$33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A08339301CCE472DA9C9BB7170264176</author>
  </authors>
  <commentList>
    <comment ref="I5" authorId="0">
      <text>
        <r>
          <rPr>
            <b/>
            <sz val="9"/>
            <rFont val="宋体"/>
            <charset val="134"/>
          </rPr>
          <t>自动计算（无需填写）</t>
        </r>
        <r>
          <rPr>
            <sz val="9"/>
            <rFont val="宋体"/>
            <charset val="134"/>
          </rPr>
          <t xml:space="preserve">
</t>
        </r>
      </text>
    </comment>
    <comment ref="H6" authorId="0">
      <text>
        <r>
          <rPr>
            <b/>
            <sz val="9"/>
            <rFont val="宋体"/>
            <charset val="134"/>
          </rPr>
          <t>自动计算（无需填写）</t>
        </r>
        <r>
          <rPr>
            <sz val="9"/>
            <rFont val="宋体"/>
            <charset val="134"/>
          </rPr>
          <t xml:space="preserve">
</t>
        </r>
      </text>
    </comment>
    <comment ref="B8" authorId="0">
      <text>
        <r>
          <rPr>
            <b/>
            <sz val="9"/>
            <rFont val="宋体"/>
            <charset val="134"/>
          </rPr>
          <t>下拉菜单选择</t>
        </r>
        <r>
          <rPr>
            <sz val="9"/>
            <rFont val="宋体"/>
            <charset val="134"/>
          </rPr>
          <t xml:space="preserve">
</t>
        </r>
      </text>
    </comment>
    <comment ref="H9" authorId="0">
      <text>
        <r>
          <rPr>
            <b/>
            <sz val="9"/>
            <rFont val="宋体"/>
            <charset val="134"/>
          </rPr>
          <t>自动计算（无需填写）</t>
        </r>
        <r>
          <rPr>
            <sz val="9"/>
            <rFont val="宋体"/>
            <charset val="134"/>
          </rPr>
          <t xml:space="preserve">
</t>
        </r>
      </text>
    </comment>
    <comment ref="I9" authorId="0">
      <text>
        <r>
          <rPr>
            <b/>
            <sz val="9"/>
            <rFont val="宋体"/>
            <charset val="134"/>
          </rPr>
          <t>自动计算（无需填写）</t>
        </r>
        <r>
          <rPr>
            <sz val="9"/>
            <rFont val="宋体"/>
            <charset val="134"/>
          </rPr>
          <t xml:space="preserve">
</t>
        </r>
      </text>
    </comment>
    <comment ref="F12" authorId="0">
      <text>
        <r>
          <rPr>
            <b/>
            <sz val="9"/>
            <rFont val="宋体"/>
            <charset val="134"/>
          </rPr>
          <t>必须填写</t>
        </r>
        <r>
          <rPr>
            <sz val="9"/>
            <rFont val="宋体"/>
            <charset val="134"/>
          </rPr>
          <t xml:space="preserve">
</t>
        </r>
      </text>
    </comment>
    <comment ref="G12" authorId="0">
      <text>
        <r>
          <rPr>
            <b/>
            <sz val="9"/>
            <rFont val="宋体"/>
            <charset val="134"/>
          </rPr>
          <t>根据实际下拉选择</t>
        </r>
        <r>
          <rPr>
            <sz val="9"/>
            <rFont val="宋体"/>
            <charset val="134"/>
          </rPr>
          <t xml:space="preserve">
</t>
        </r>
      </text>
    </comment>
    <comment ref="F13" authorId="0">
      <text>
        <r>
          <rPr>
            <b/>
            <sz val="9"/>
            <rFont val="宋体"/>
            <charset val="134"/>
          </rPr>
          <t>必须填写</t>
        </r>
        <r>
          <rPr>
            <sz val="9"/>
            <rFont val="宋体"/>
            <charset val="134"/>
          </rPr>
          <t xml:space="preserve">
</t>
        </r>
      </text>
    </comment>
    <comment ref="F14" authorId="0">
      <text>
        <r>
          <rPr>
            <b/>
            <sz val="9"/>
            <rFont val="宋体"/>
            <charset val="134"/>
          </rPr>
          <t>必须填写</t>
        </r>
        <r>
          <rPr>
            <sz val="9"/>
            <rFont val="宋体"/>
            <charset val="134"/>
          </rPr>
          <t xml:space="preserve">
</t>
        </r>
      </text>
    </comment>
    <comment ref="F15" authorId="0">
      <text>
        <r>
          <rPr>
            <b/>
            <sz val="9"/>
            <rFont val="宋体"/>
            <charset val="134"/>
          </rPr>
          <t>必须填写</t>
        </r>
        <r>
          <rPr>
            <sz val="9"/>
            <rFont val="宋体"/>
            <charset val="134"/>
          </rPr>
          <t xml:space="preserve">
</t>
        </r>
      </text>
    </comment>
    <comment ref="F16" authorId="0">
      <text>
        <r>
          <rPr>
            <b/>
            <sz val="9"/>
            <rFont val="宋体"/>
            <charset val="134"/>
          </rPr>
          <t>必须填写</t>
        </r>
        <r>
          <rPr>
            <sz val="9"/>
            <rFont val="宋体"/>
            <charset val="134"/>
          </rPr>
          <t xml:space="preserve">
</t>
        </r>
      </text>
    </comment>
    <comment ref="F17" authorId="0">
      <text>
        <r>
          <rPr>
            <b/>
            <sz val="9"/>
            <rFont val="宋体"/>
            <charset val="134"/>
          </rPr>
          <t>必须填写</t>
        </r>
        <r>
          <rPr>
            <sz val="9"/>
            <rFont val="宋体"/>
            <charset val="134"/>
          </rPr>
          <t xml:space="preserve">
</t>
        </r>
      </text>
    </comment>
    <comment ref="F18" authorId="0">
      <text>
        <r>
          <rPr>
            <b/>
            <sz val="9"/>
            <rFont val="宋体"/>
            <charset val="134"/>
          </rPr>
          <t>必须填写</t>
        </r>
        <r>
          <rPr>
            <sz val="9"/>
            <rFont val="宋体"/>
            <charset val="134"/>
          </rPr>
          <t xml:space="preserve">
</t>
        </r>
      </text>
    </comment>
    <comment ref="G18" authorId="0">
      <text>
        <r>
          <rPr>
            <b/>
            <sz val="9"/>
            <rFont val="宋体"/>
            <charset val="134"/>
          </rPr>
          <t>根据实际下拉选择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<sst xmlns="http://schemas.openxmlformats.org/spreadsheetml/2006/main" count="942" uniqueCount="365">
  <si>
    <t>输电管理所场景式持续作业风险评估模型</t>
  </si>
  <si>
    <t>工作任务风险值（F）</t>
  </si>
  <si>
    <t>设备运维班组</t>
  </si>
  <si>
    <t>500kV输电线路一班</t>
  </si>
  <si>
    <t>施工单位</t>
  </si>
  <si>
    <t>中国能源建设集团广东火电工程有限公司</t>
  </si>
  <si>
    <t>工作任务</t>
  </si>
  <si>
    <t>同塔架设的500kV上渡甲线（色标：蓝色）、500kV上渡乙线（色标：黄色）更换N100塔-N177塔杆号牌、机巡牌</t>
  </si>
  <si>
    <t>工作负责人及联系电话</t>
  </si>
  <si>
    <t>戴德富19977892180</t>
  </si>
  <si>
    <t>作业人数</t>
  </si>
  <si>
    <t>工作开始时间</t>
  </si>
  <si>
    <t>工作结束时间</t>
  </si>
  <si>
    <t>工期</t>
  </si>
  <si>
    <t>作业类型风险值（Amax*an）</t>
  </si>
  <si>
    <t>作业项目</t>
  </si>
  <si>
    <t>基准风险值评分（A）</t>
  </si>
  <si>
    <t>基准风险级别</t>
  </si>
  <si>
    <t>作业项目数</t>
  </si>
  <si>
    <t>调整系数an</t>
  </si>
  <si>
    <t>工作任务1</t>
  </si>
  <si>
    <t>项目1</t>
  </si>
  <si>
    <t>架空线路带电补装或更换杆塔标示牌</t>
  </si>
  <si>
    <t>项目2</t>
  </si>
  <si>
    <t>作业人员能力评分表（B）</t>
  </si>
  <si>
    <t>评分B1</t>
  </si>
  <si>
    <t>查询系统，核实录入违章人数</t>
  </si>
  <si>
    <t>3年内0-2次D类违章0分</t>
  </si>
  <si>
    <t>评分B2</t>
  </si>
  <si>
    <t>3年内累计3次及以上D类违章的，每人计2分</t>
  </si>
  <si>
    <t>3年内累计1次及以上C类违章的，每人计3分</t>
  </si>
  <si>
    <t>3年内累计1次以上B类违章的，每人计5分</t>
  </si>
  <si>
    <t>3年内累计1次及以上A类违章的，每人计6分</t>
  </si>
  <si>
    <t>评分B3</t>
  </si>
  <si>
    <t>评分B4</t>
  </si>
  <si>
    <t>超过8人但不足16人的，计3分</t>
  </si>
  <si>
    <t>评分B5</t>
  </si>
  <si>
    <t>工作负责人在作业前（含工作间断后）1日确认的，计0分</t>
  </si>
  <si>
    <t>评分B6</t>
  </si>
  <si>
    <t>外施工单位劳务分包人员，计8分</t>
  </si>
  <si>
    <t>评分B7</t>
  </si>
  <si>
    <t>1年内2次及以上或2年内5次及以上的，每人计0分</t>
  </si>
  <si>
    <t>评分B8</t>
  </si>
  <si>
    <t>评分B9</t>
  </si>
  <si>
    <t>评分B10</t>
  </si>
  <si>
    <t>良好，计0分</t>
  </si>
  <si>
    <t>作业环境和时间影响风险值评分表（C）</t>
  </si>
  <si>
    <t>评分C1</t>
  </si>
  <si>
    <t>天气舒适，0分</t>
  </si>
  <si>
    <t>评分C2</t>
  </si>
  <si>
    <t>林区内作业，15分</t>
  </si>
  <si>
    <t>评分C3</t>
  </si>
  <si>
    <t>30米以上，10分</t>
  </si>
  <si>
    <t>评分C4</t>
  </si>
  <si>
    <t>正常时段作业，0分</t>
  </si>
  <si>
    <t>评分C5</t>
  </si>
  <si>
    <t>超过4小时但不超8小时，2分</t>
  </si>
  <si>
    <t>评分C6</t>
  </si>
  <si>
    <t>计划性工作，0分</t>
  </si>
  <si>
    <t>评分C7</t>
  </si>
  <si>
    <t>非关键重要站点（线路），0分</t>
  </si>
  <si>
    <t>广东电网有限责任公司生产现场作业风险管控业务指导书（2022版）附录C</t>
  </si>
  <si>
    <t>序号</t>
  </si>
  <si>
    <t>作业类别</t>
  </si>
  <si>
    <t>作业任务</t>
  </si>
  <si>
    <t>风险等级</t>
  </si>
  <si>
    <t>备注</t>
  </si>
  <si>
    <r>
      <rPr>
        <b/>
        <sz val="12"/>
        <color rgb="FFFF0000"/>
        <rFont val="宋体"/>
        <charset val="134"/>
        <scheme val="minor"/>
      </rPr>
      <t>（原）</t>
    </r>
    <r>
      <rPr>
        <b/>
        <sz val="12"/>
        <rFont val="宋体"/>
        <charset val="134"/>
        <scheme val="minor"/>
      </rPr>
      <t>作业任务</t>
    </r>
  </si>
  <si>
    <r>
      <rPr>
        <b/>
        <sz val="11"/>
        <color rgb="FFFF0000"/>
        <rFont val="宋体"/>
        <charset val="134"/>
        <scheme val="minor"/>
      </rPr>
      <t>（原）</t>
    </r>
    <r>
      <rPr>
        <b/>
        <sz val="11"/>
        <rFont val="宋体"/>
        <charset val="134"/>
        <scheme val="minor"/>
      </rPr>
      <t>基准风险值评分（A）</t>
    </r>
  </si>
  <si>
    <r>
      <rPr>
        <b/>
        <sz val="12"/>
        <color rgb="FFFF0000"/>
        <rFont val="宋体"/>
        <charset val="134"/>
        <scheme val="minor"/>
      </rPr>
      <t>（原）</t>
    </r>
    <r>
      <rPr>
        <b/>
        <sz val="12"/>
        <rFont val="宋体"/>
        <charset val="134"/>
        <scheme val="minor"/>
      </rPr>
      <t>风险等级</t>
    </r>
  </si>
  <si>
    <t>安装、更换</t>
  </si>
  <si>
    <t>特殊条件下的导线（如特殊导线）拆除或更换新导线作业</t>
  </si>
  <si>
    <t>中风险</t>
  </si>
  <si>
    <t>架空线路停电检查、调整及更换导地线金具附件</t>
  </si>
  <si>
    <t>低风险</t>
  </si>
  <si>
    <t>架空线路停电修补导地线</t>
  </si>
  <si>
    <t>架空线路停电更换耐张自爆玻璃绝缘子</t>
  </si>
  <si>
    <t>架空线路停电清除导地线异物</t>
  </si>
  <si>
    <t>架空线路停电调整及更换悬垂绝缘子</t>
  </si>
  <si>
    <t>架空线路停电装拆引流板或引流线</t>
  </si>
  <si>
    <t>架空线路线路带电检查及更换地线金具附件</t>
  </si>
  <si>
    <t>架空线路杆塔构件补装</t>
  </si>
  <si>
    <t>架空线路放撤导、地线</t>
  </si>
  <si>
    <t>架空线路停电拆、装线路避雷器</t>
  </si>
  <si>
    <t>架空线路带电挂、取盐密样品</t>
  </si>
  <si>
    <t>架空线路调整拉线</t>
  </si>
  <si>
    <t>可接受的风险</t>
  </si>
  <si>
    <t>架空线路杆塔组立</t>
  </si>
  <si>
    <t>架空线路停电放撤或更换导、地线</t>
  </si>
  <si>
    <t>架空线路停电安装或更换故障定位装置</t>
  </si>
  <si>
    <t>架空线路清除高杆植物</t>
  </si>
  <si>
    <t>线路杆塔带电安装或更换视频监控装置</t>
  </si>
  <si>
    <t>架空线路带电安装或更换微气象装置</t>
  </si>
  <si>
    <t>架空线路停电清抹、喷涂玻璃绝缘子</t>
  </si>
  <si>
    <t>架空线路带电补装、更换杆塔附件或防护装置</t>
  </si>
  <si>
    <t>架空线路等电位带电检查、调整及更换导地线金具附件</t>
  </si>
  <si>
    <t>架空线路等电位带电更换耐张自爆玻璃绝缘子</t>
  </si>
  <si>
    <t>架空线路等电位带电调整及更换悬垂绝缘子</t>
  </si>
  <si>
    <t>架空线路等电位带电装拆引流板或引流线</t>
  </si>
  <si>
    <t>退运线路杆塔、导线拆除作业</t>
  </si>
  <si>
    <t>架空线路更换拉线</t>
  </si>
  <si>
    <t>架空线路带电清除鸟巢、飘挂物</t>
  </si>
  <si>
    <t>架空线路安装或更换基础位移监控装置</t>
  </si>
  <si>
    <t>架空线路登塔检查</t>
  </si>
  <si>
    <t>架空线路更换接地引下线</t>
  </si>
  <si>
    <t>架空线路中间验收</t>
  </si>
  <si>
    <t>电缆安装或更换电缆环流监测装置</t>
  </si>
  <si>
    <t>架空线路竣工验收</t>
  </si>
  <si>
    <t>电缆安装或更换电缆故障定位装置</t>
  </si>
  <si>
    <t>电缆安装或更换光纤测温装置</t>
  </si>
  <si>
    <t>架空线路带电检查ADSS光缆金具附件作业</t>
  </si>
  <si>
    <t>电缆避雷器更换</t>
  </si>
  <si>
    <t>电缆终端场或电缆通道地面（非高空作业）安装或更换视频监控装置</t>
  </si>
  <si>
    <t>电缆避雷器计数器带电更换</t>
  </si>
  <si>
    <t>电缆线路安装或更换接地箱（带电）</t>
  </si>
  <si>
    <t>架空线路带电补装或更换附件及监测设备</t>
  </si>
  <si>
    <t>电缆线路安装或更换接地箱（停电）</t>
  </si>
  <si>
    <t>架空线路带电塔材除锈喷涂防腐油漆</t>
  </si>
  <si>
    <t>架空线路安装、拆除ADSS光缆</t>
  </si>
  <si>
    <t>架空线路杆塔基础及护坡检修</t>
  </si>
  <si>
    <t>架空线路带电安装防鸟装置</t>
  </si>
  <si>
    <t>开挖深度超过 16m 的人工挖孔桩工程</t>
  </si>
  <si>
    <t>高风险</t>
  </si>
  <si>
    <t>开挖深度不超 16m 的人工挖扩孔桩（含掏挖桩） 工程</t>
  </si>
  <si>
    <t>架空线路带电补装或更换杆塔相序牌</t>
  </si>
  <si>
    <t>普通基础开挖深度 5 米及以上</t>
  </si>
  <si>
    <t>架空线路带电塔身安装鸟笼</t>
  </si>
  <si>
    <t>普通基础开挖深度 3-5 米</t>
  </si>
  <si>
    <t>架空线路地面架设限高架</t>
  </si>
  <si>
    <t>架空线路线夹X光检测</t>
  </si>
  <si>
    <t>架空线路多回单侧停电，放撤或更换停电侧ADSS光缆</t>
  </si>
  <si>
    <t>架空线路附件停电安装</t>
  </si>
  <si>
    <t>架空线路更换或粘贴杆号牌、线行牌、基础牌、禁止攀登牌等</t>
  </si>
  <si>
    <t>电缆主绝缘故障修复</t>
  </si>
  <si>
    <t>架空线路停电安装防鸟设施</t>
  </si>
  <si>
    <t>电缆外护套停电检修</t>
  </si>
  <si>
    <t>架空线路停电更换耐张绝缘子</t>
  </si>
  <si>
    <t>电缆终端头线夹发热停电处理</t>
  </si>
  <si>
    <t>测量</t>
  </si>
  <si>
    <t>避雷器放电计数器或在线监测仪检查（无人机）</t>
  </si>
  <si>
    <t>电缆接地系统停电检修</t>
  </si>
  <si>
    <t>电缆线路及附属设施红外检测</t>
  </si>
  <si>
    <t>电缆主绝缘故障停电查找</t>
  </si>
  <si>
    <t>架空线路对地和交叉跨越距离测量</t>
  </si>
  <si>
    <t>架空线路多旋翼无人机激光雷达测距</t>
  </si>
  <si>
    <t>架空线路杆塔接地电阻测量</t>
  </si>
  <si>
    <t>架空线路红外测温检测（地面作业）</t>
  </si>
  <si>
    <t>架空线路红外测温检测（塔上作业）</t>
  </si>
  <si>
    <t>电缆交叉互联系统预试</t>
  </si>
  <si>
    <t>架空线路弧垂测量</t>
  </si>
  <si>
    <t>电缆避雷器带电试验</t>
  </si>
  <si>
    <t>架空线路铁塔、横担倾斜度测量</t>
  </si>
  <si>
    <t>电缆终端避雷器停电试验</t>
  </si>
  <si>
    <t>架空线路无人机可见光拍摄、红外测温作业</t>
  </si>
  <si>
    <t>电缆中间验收</t>
  </si>
  <si>
    <t>接地电阻测量</t>
  </si>
  <si>
    <t>电缆线路工程竣工验收</t>
  </si>
  <si>
    <t>检修</t>
  </si>
  <si>
    <t>电缆辅助设施维护</t>
  </si>
  <si>
    <t>电缆局放检测</t>
  </si>
  <si>
    <t>电缆土建开挖及恢复</t>
  </si>
  <si>
    <t>电缆附件停电检修</t>
  </si>
  <si>
    <t>电缆X光检测</t>
  </si>
  <si>
    <t>架空线路接地引下线开挖检查</t>
  </si>
  <si>
    <t>影响人、交通、燃气设施、电力设施、通讯设施或其他建（构）筑物安全的拆除工程</t>
  </si>
  <si>
    <t>非新展放电缆斩接作业</t>
  </si>
  <si>
    <t>其它作业环境复杂的建构筑物拆除作业</t>
  </si>
  <si>
    <t>架空线路核相、摇绝缘、测参数工作</t>
  </si>
  <si>
    <t>地质条件、周围环境和地下管线复杂，或影响毗邻建（构）筑物安全的基坑（槽）的土方开挖</t>
  </si>
  <si>
    <t>周边 3 米范围存在燃气、电缆、通讯管线等不利环境基坑机械开挖（基坑）</t>
  </si>
  <si>
    <t>开挖造成燃气、电缆、通讯管线等裸露</t>
  </si>
  <si>
    <t>开挖范围存在与燃气、电缆、通讯管线等垂直交叉</t>
  </si>
  <si>
    <t>重要或敏感道路占道开挖</t>
  </si>
  <si>
    <t>邻近电力运行设备吊装，吊机旋转半径可能达到运行安全距离的吊装作业</t>
  </si>
  <si>
    <t>临近交通道路、裸露运行管线、人员密集区域、铁路等重要建构筑物吊装，吊机旋转半径可能到达毗邻区域安全距离的吊装作业</t>
  </si>
  <si>
    <t>跨越 110 千伏及以上脚手架（跨越架）搭设及使用</t>
  </si>
  <si>
    <t>电缆中间接头制作</t>
  </si>
  <si>
    <t>新型及异型脚手架工程搭设及使用</t>
  </si>
  <si>
    <t>电缆终端头制作</t>
  </si>
  <si>
    <t>跨越架搭设高度超过 15m 工程</t>
  </si>
  <si>
    <t>电缆环流检测</t>
  </si>
  <si>
    <t>跨越交通复杂道路、高架桥、立交桥等脚手架（跨 越架）搭设及使用</t>
  </si>
  <si>
    <t>电缆接头工井地网检修</t>
  </si>
  <si>
    <t>架线施工跨越重要铁路（含普通铁路、高铁、地铁等）、航道、高速公路、重要建构筑物、110kV 及以上带电跨越等</t>
  </si>
  <si>
    <t>工作地段两端已挂好接地线，在变电站、终端塔电缆出土对电缆斩接</t>
  </si>
  <si>
    <t>复杂环境（包括夜间施工、人口稠密区域、重要交 通区域、临近高压带电体等）组（拆）塔及放线施工</t>
  </si>
  <si>
    <t>架空线路带电检测瓷瓶</t>
  </si>
  <si>
    <t>采用新技术、新工艺、新材料、新设备及尚无相关技术标准的危险性较大的分部分项工程</t>
  </si>
  <si>
    <t>架空线路带电清除异物（塔上作业）</t>
  </si>
  <si>
    <t>按跨越高塔设计且高度超过 100m 的铁塔组立工程</t>
  </si>
  <si>
    <t>架空线路带电修补导地线</t>
  </si>
  <si>
    <t>按大跨越设计的大跨越工程</t>
  </si>
  <si>
    <t>架空线路地电位带电处理地线防振锤</t>
  </si>
  <si>
    <t>500kV 及以上停电跨越工程</t>
  </si>
  <si>
    <t>架空线路地电位带电处理地线放电间隙</t>
  </si>
  <si>
    <t>与带电运行线路同塔架设的线路架线（或拆除）工程</t>
  </si>
  <si>
    <t>架空线路多旋翼无人机激光雷达作业</t>
  </si>
  <si>
    <t>架空线路多旋翼无人机喷火消缺</t>
  </si>
  <si>
    <t>作业最小安全距离处于临界值的临近带电施工工程</t>
  </si>
  <si>
    <t>架空线路多旋翼无人倾斜摄影作业</t>
  </si>
  <si>
    <t>其它非常规方式立塔、架线、拆线作业（夜间照明度不足情况下立塔或放线、整体式立塔等）</t>
  </si>
  <si>
    <t>架空线路杆头杂草清理、排水沟、防撞墙等附属设施维护</t>
  </si>
  <si>
    <t>土质高度超过 10 米或岩质高度超过 15 米的高边坡工程</t>
  </si>
  <si>
    <t>架空线路激光远程清障仪清除异物作业</t>
  </si>
  <si>
    <t>架空线路监测及警示装置维护作业</t>
  </si>
  <si>
    <t>市区、管线复杂（临近或交叉燃气、输油管线、电力、通讯、水管等）区域顶管作业</t>
  </si>
  <si>
    <t>架空线路塔上压接导地线压接管</t>
  </si>
  <si>
    <t>架空线路停电安装在线监测装置</t>
  </si>
  <si>
    <t>架空线路停电处理线夹发热</t>
  </si>
  <si>
    <t>架空线路停电加固ADSS金具附件作业</t>
  </si>
  <si>
    <t>架空线路停电清除异物（塔上作业）</t>
  </si>
  <si>
    <t>架空线路停电装拆跳线</t>
  </si>
  <si>
    <t>接地网开挖检查</t>
  </si>
  <si>
    <t>接地装置安装、检修</t>
  </si>
  <si>
    <t>输电电缆安健环设施检修</t>
  </si>
  <si>
    <t>输电电缆瓷套式终端停电清抹</t>
  </si>
  <si>
    <t>输电电缆附件检修</t>
  </si>
  <si>
    <t>输电电缆接地系统带电检修</t>
  </si>
  <si>
    <t>输电电缆接地系统检修</t>
  </si>
  <si>
    <t>输电电缆路径探测（包含RTK、全站仪、路径仪、导向仪、陀螺仪等作业方式）</t>
  </si>
  <si>
    <t>输电电缆通道隐患处理</t>
  </si>
  <si>
    <t>输电电缆外护套检修</t>
  </si>
  <si>
    <t>输电电缆在线监测设备维护检修</t>
  </si>
  <si>
    <t>输电电缆终端头线夹发热处理</t>
  </si>
  <si>
    <t>输电线路导、地线线夹及接续金具检查</t>
  </si>
  <si>
    <t>巡视道路检修</t>
  </si>
  <si>
    <t>普通基础机械开挖深度 5 米及以上</t>
  </si>
  <si>
    <t>普通基础人工开挖深度 5 米及以上</t>
  </si>
  <si>
    <t>普通基础机械基坑开挖深度 3-5 米</t>
  </si>
  <si>
    <t>普通基础人工基坑开挖深度 3-5 米</t>
  </si>
  <si>
    <t>人工开挖造成燃气、电缆、通讯管线等裸露</t>
  </si>
  <si>
    <t>跨越高速公路、快速公路脚手架（跨越架）搭设封网、拆网及使用</t>
  </si>
  <si>
    <t>跨越铁路脚手架（跨越架）搭设、封网及使用</t>
  </si>
  <si>
    <t>按跨越高塔设计且高度超过 80m 的铁塔组立工程</t>
  </si>
  <si>
    <t>电缆线路敷设电缆</t>
  </si>
  <si>
    <t>架空线路保护区内进行满足安全距离要求的桩基础钻桩施工工程</t>
  </si>
  <si>
    <t>架空线路杆塔地面防撞及附属设施安装</t>
  </si>
  <si>
    <t>架空线路杆塔防攀网设施安装</t>
  </si>
  <si>
    <t>架空线路杆塔防坠落装置安装</t>
  </si>
  <si>
    <t>架空线路杆塔基础边坡及排水设施修理</t>
  </si>
  <si>
    <t>架空线路杆塔倾斜调整（带电作业）</t>
  </si>
  <si>
    <t>架空线路杆塔倾斜调整（停电作业）</t>
  </si>
  <si>
    <t>架空线路杆塔在线监控装置或附属设施安装</t>
  </si>
  <si>
    <t>架空线路杆塔组立（机械吊装）</t>
  </si>
  <si>
    <t>架空线路杆塔钻桩基础施工</t>
  </si>
  <si>
    <t>架空线路塔基、巡线及汽车便道清理维修</t>
  </si>
  <si>
    <t>架空线路线路停电检查及更换导线金具及附件</t>
  </si>
  <si>
    <t>跨越10千伏带电线路跨越架搭设及封网施工</t>
  </si>
  <si>
    <t>跨越110kV以下带电线路、非一级公路搭设或拆除跨越架</t>
  </si>
  <si>
    <t>跨越35千伏及以上带电线路封网施工</t>
  </si>
  <si>
    <t>跨越架搭设高度未超过 15m 工程</t>
  </si>
  <si>
    <t>普通基础基坑开挖深度 3 米以下</t>
  </si>
  <si>
    <t>人工挖扩孔桩（含掏挖桩）基础混凝土浇制</t>
  </si>
  <si>
    <t>输电线路杆塔地网改造、更换</t>
  </si>
  <si>
    <t>输电线路杆塔基础浇筑</t>
  </si>
  <si>
    <t>电缆线路参数测试；核相、测绝缘等</t>
  </si>
  <si>
    <t>与带电设备安全距离满足要求的基础钻桩（或钻探、抽芯等）施工</t>
  </si>
  <si>
    <t>与带电设备最小安全距离处于临界值的基础钻桩（地质钻探、桩基础抽芯等）施工</t>
  </si>
  <si>
    <t>预试</t>
  </si>
  <si>
    <t>电缆耐压试验</t>
  </si>
  <si>
    <t>电缆停电预试（外护套绝缘电阻试验、交叉互联检查、保护器试验、接头井地网测试等）</t>
  </si>
  <si>
    <t>电缆主绝缘电阻试验</t>
  </si>
  <si>
    <t>电缆外护套绝缘电阻试验</t>
  </si>
  <si>
    <t>架空线路零值绝缘子检测</t>
  </si>
  <si>
    <t>巡视</t>
  </si>
  <si>
    <t>架空线路故障巡视</t>
  </si>
  <si>
    <t>电缆线路故障巡视</t>
  </si>
  <si>
    <t>隧道内电缆线路及附属设施巡视</t>
  </si>
  <si>
    <t>电缆线路日常巡视</t>
  </si>
  <si>
    <t>电缆线路特殊巡视</t>
  </si>
  <si>
    <t>架空线路及架空通讯光缆巡视</t>
  </si>
  <si>
    <t>架空线路特殊巡视</t>
  </si>
  <si>
    <t>架空线路重要交叉跨越/临近人口密集区或易燃易爆场所特殊巡视</t>
  </si>
  <si>
    <t>输电线路日常巡视（机巡）</t>
  </si>
  <si>
    <t>输电线路日常巡视（人工）</t>
  </si>
  <si>
    <t>输电线路无人机故障巡视</t>
  </si>
  <si>
    <t>输电线路无人机激光雷达作业</t>
  </si>
  <si>
    <t>验收</t>
  </si>
  <si>
    <t>架空线路基础验收</t>
  </si>
  <si>
    <t>架空线路验收（无人机）</t>
  </si>
  <si>
    <t>架空线路视频监控装置验收</t>
  </si>
  <si>
    <t>架空线路消缺验收</t>
  </si>
  <si>
    <t>架空线路走线验收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</si>
  <si>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</si>
  <si>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</si>
  <si>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</si>
  <si>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</si>
  <si>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</si>
  <si>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</si>
  <si>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</si>
  <si>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</si>
  <si>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</si>
  <si>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</si>
  <si>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工作负责人（含小组工作负责人）安全意识</t>
  </si>
  <si>
    <t>评分</t>
  </si>
  <si>
    <t>主要工作班成员（辅助工除外）安全意识</t>
  </si>
  <si>
    <t>监护人（含专职监护人）安全意识</t>
  </si>
  <si>
    <t>作业总人数</t>
  </si>
  <si>
    <t>作业人员临时变更</t>
  </si>
  <si>
    <t>人员性质</t>
  </si>
  <si>
    <t>工作负责人（含小组工作负责人）组织同类型作业次数</t>
  </si>
  <si>
    <t>主要工作班成员（辅助工除外）参与同类型作业次数</t>
  </si>
  <si>
    <t>监护人（含专职监护人）参与同类型作业次数</t>
  </si>
  <si>
    <t>作业人员精神状态、疲劳程度</t>
  </si>
  <si>
    <t>不超过5人的，计0分</t>
  </si>
  <si>
    <t>本单位人员，0分</t>
  </si>
  <si>
    <t>过5人但不足8人的，计1分</t>
  </si>
  <si>
    <t>作业当日临时变更工作负责人，计5分</t>
  </si>
  <si>
    <t>外施工单位人员，计5分</t>
  </si>
  <si>
    <t>不满足上述要求，但累计5次及以上的，每人计2分</t>
  </si>
  <si>
    <t>一般，每人计2分</t>
  </si>
  <si>
    <t>累计不足5次但不小于3次的，每人计3分</t>
  </si>
  <si>
    <t>较差，每人计10分</t>
  </si>
  <si>
    <t>3年内累计1次及以上B类违章的，每人计5分</t>
  </si>
  <si>
    <t>超过16人但不足24人的，计5分</t>
  </si>
  <si>
    <t>累计不足3次但不是第一次的，每人计5分</t>
  </si>
  <si>
    <t>很差，禁止作业</t>
  </si>
  <si>
    <t>/</t>
  </si>
  <si>
    <t>超过24人但不足50人的，计8分</t>
  </si>
  <si>
    <t>第一次承担该类作业的，每人计6分</t>
  </si>
  <si>
    <t>第一次参与该类作业的，每人计6分</t>
  </si>
  <si>
    <t>第一次监护该类作业的，每人计6分</t>
  </si>
  <si>
    <t>50人及以上的，计15分</t>
  </si>
  <si>
    <t>C1</t>
  </si>
  <si>
    <t>C2</t>
  </si>
  <si>
    <t>C3</t>
  </si>
  <si>
    <t>C4</t>
  </si>
  <si>
    <t>C5</t>
  </si>
  <si>
    <t>C6</t>
  </si>
  <si>
    <t>C7</t>
  </si>
  <si>
    <t>天气</t>
  </si>
  <si>
    <t>作业地段</t>
  </si>
  <si>
    <t>作业类型</t>
  </si>
  <si>
    <t>作业时段</t>
  </si>
  <si>
    <t>单日持续作业时长（疲劳度）</t>
  </si>
  <si>
    <t>计划性质</t>
  </si>
  <si>
    <t>关键重要站点（线路）</t>
  </si>
  <si>
    <t>无特殊区段，0分</t>
  </si>
  <si>
    <t>地面以上1.5米以下，0分</t>
  </si>
  <si>
    <t>不超4小时，0分</t>
  </si>
  <si>
    <t>户外作业小雨天气，10分</t>
  </si>
  <si>
    <t>有限空间内作业：风、水、电和空气监测设施完备、信号传输正常的电缆隧道，3分；</t>
  </si>
  <si>
    <t>1.5米以上5米以下，2分</t>
  </si>
  <si>
    <t>二级保供电期间涉及保供电设备的作业，5分</t>
  </si>
  <si>
    <r>
      <rPr>
        <sz val="10.5"/>
        <color theme="1"/>
        <rFont val="宋体"/>
        <charset val="134"/>
      </rPr>
      <t>提前一</t>
    </r>
    <r>
      <rPr>
        <sz val="10.5"/>
        <color theme="1"/>
        <rFont val="宋体"/>
        <charset val="134"/>
      </rPr>
      <t>日</t>
    </r>
    <r>
      <rPr>
        <sz val="10.5"/>
        <color theme="1"/>
        <rFont val="宋体"/>
        <charset val="134"/>
      </rPr>
      <t>制定的临时性作业任务</t>
    </r>
    <r>
      <rPr>
        <sz val="10.5"/>
        <color theme="1"/>
        <rFont val="宋体"/>
        <charset val="134"/>
      </rPr>
      <t>，</t>
    </r>
    <r>
      <rPr>
        <sz val="10.5"/>
        <color theme="1"/>
        <rFont val="宋体"/>
        <charset val="134"/>
      </rPr>
      <t>10</t>
    </r>
    <r>
      <rPr>
        <sz val="10.5"/>
        <color theme="1"/>
        <rFont val="宋体"/>
        <charset val="134"/>
      </rPr>
      <t>分</t>
    </r>
  </si>
  <si>
    <t>关键重要站点（线路），5分</t>
  </si>
  <si>
    <t>户外作业4～5级大风，15分</t>
  </si>
  <si>
    <t>有限空间内作业：风、水、电和空气监测设施不完备、信号传输不正常的电缆隧道，10分</t>
  </si>
  <si>
    <t>5米以上15米以下，5分</t>
  </si>
  <si>
    <t>站内或室内夜间作业(0点-次日6：00)，20分</t>
  </si>
  <si>
    <t>超过8小时但不超12小时，10分</t>
  </si>
  <si>
    <t>当日制定的临时性作业任务，20分</t>
  </si>
  <si>
    <t>气象部门发布蓝色天气预警信号后，户外作业受天气影响时，10分</t>
  </si>
  <si>
    <t>有限空间环境当氧气不足或有毒有害气体含量超标时，禁止作业</t>
  </si>
  <si>
    <t>15米以上30米以下，7分</t>
  </si>
  <si>
    <t>站外线路夜间作业(20：00-次日6：00)，20分</t>
  </si>
  <si>
    <t>超过12小时，20分</t>
  </si>
  <si>
    <t>气象部门发布黄色及以上天气预警信号后，户外作业受天气影响时，15分</t>
  </si>
  <si>
    <t>作业区段内包含（双）多回共塔带电线路，10分</t>
  </si>
  <si>
    <t>特级、一级保供电涉及保供电设备的作业、或春节等法定假日（含前后调休）期间作业，20分</t>
  </si>
  <si>
    <t>雷雨、雷电、风力大于五级时（台风、大风预警信号）不具备户外工作条件，不得工作</t>
  </si>
  <si>
    <t>动火作业，5分</t>
  </si>
  <si>
    <t>地质隐患区内作业，15分</t>
  </si>
  <si>
    <t>大型吊装作业，5分</t>
  </si>
  <si>
    <t>可能造成导、地线、光缆脱落的作业，区段内包含重要交叉跨越、带电线路、临近易燃易爆、危险化学品场所等，30分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</si>
</sst>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.5"/>
      <color theme="1"/>
      <name val="宋体"/>
      <charset val="134"/>
      <scheme val="minor"/>
    </font>
    <font>
      <sz val="10.5"/>
      <color rgb="FFFF0000"/>
      <name val="宋体"/>
      <charset val="134"/>
    </font>
    <font>
      <b/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1"/>
      <color rgb="FFFF0000"/>
      <name val="宋体"/>
      <charset val="134"/>
      <scheme val="minor"/>
    </font>
    <font>
      <sz val="10.5"/>
      <color theme="1"/>
      <name val="宋体"/>
      <charset val="134"/>
    </font>
    <font>
      <b/>
      <sz val="10.5"/>
      <color rgb="FFFF0000"/>
      <name val="宋体"/>
      <charset val="134"/>
    </font>
    <font>
      <b/>
      <sz val="10.5"/>
      <color rgb="FFFF0000"/>
      <name val="宋体"/>
      <charset val="134"/>
      <scheme val="minor"/>
    </font>
    <font>
      <sz val="10"/>
      <color rgb="FFFF0000"/>
      <name val="宋体"/>
      <charset val="134"/>
    </font>
    <font>
      <sz val="12"/>
      <color rgb="FF000000"/>
      <name val="仿宋"/>
      <charset val="134"/>
    </font>
    <font>
      <sz val="12"/>
      <color rgb="FFFF0000"/>
      <name val="仿宋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9"/>
      <name val="宋体"/>
      <charset val="134"/>
    </font>
    <font>
      <b/>
      <sz val="12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</font>
    <font>
      <sz val="12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9"/>
      <color rgb="FF000000"/>
      <name val="仿宋_GB2312"/>
      <charset val="134"/>
    </font>
    <font>
      <sz val="9"/>
      <color rgb="FF00000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宋体"/>
      <charset val="134"/>
    </font>
    <font>
      <sz val="12"/>
      <name val="宋体"/>
      <charset val="134"/>
    </font>
    <font>
      <b/>
      <sz val="1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37" fillId="9" borderId="20" applyNumberFormat="0" applyAlignment="0" applyProtection="0">
      <alignment vertical="center"/>
    </xf>
    <xf numFmtId="0" fontId="38" fillId="9" borderId="19" applyNumberFormat="0" applyAlignment="0" applyProtection="0">
      <alignment vertical="center"/>
    </xf>
    <xf numFmtId="0" fontId="39" fillId="10" borderId="21" applyNumberFormat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7" fillId="0" borderId="0">
      <alignment vertical="center"/>
    </xf>
    <xf numFmtId="0" fontId="48" fillId="0" borderId="0"/>
  </cellStyleXfs>
  <cellXfs count="9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5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7" fillId="0" borderId="1" xfId="0" applyFont="1" applyFill="1" applyBorder="1" applyAlignment="1" applyProtection="1">
      <alignment horizontal="left" vertical="center" wrapText="1"/>
      <protection locked="0"/>
    </xf>
    <xf numFmtId="0" fontId="17" fillId="0" borderId="1" xfId="0" applyFont="1" applyFill="1" applyBorder="1" applyAlignment="1" applyProtection="1">
      <alignment horizontal="center" vertical="center"/>
      <protection locked="0"/>
    </xf>
    <xf numFmtId="0" fontId="20" fillId="0" borderId="3" xfId="0" applyFont="1" applyFill="1" applyBorder="1" applyAlignment="1" applyProtection="1">
      <alignment horizontal="left" vertical="center" wrapText="1"/>
      <protection locked="0"/>
    </xf>
    <xf numFmtId="0" fontId="20" fillId="0" borderId="1" xfId="0" applyFont="1" applyFill="1" applyBorder="1" applyAlignment="1" applyProtection="1">
      <alignment horizontal="center" vertical="center"/>
      <protection locked="0"/>
    </xf>
    <xf numFmtId="0" fontId="17" fillId="0" borderId="1" xfId="0" applyFont="1" applyFill="1" applyBorder="1" applyAlignment="1">
      <alignment horizontal="left" vertical="center"/>
    </xf>
    <xf numFmtId="0" fontId="20" fillId="0" borderId="3" xfId="0" applyFont="1" applyFill="1" applyBorder="1" applyAlignment="1">
      <alignment horizontal="left" vertical="center" shrinkToFit="1"/>
    </xf>
    <xf numFmtId="0" fontId="20" fillId="0" borderId="1" xfId="0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13" fillId="0" borderId="1" xfId="0" applyFont="1" applyBorder="1">
      <alignment vertical="center"/>
    </xf>
    <xf numFmtId="0" fontId="17" fillId="0" borderId="1" xfId="0" applyFont="1" applyFill="1" applyBorder="1" applyAlignment="1" applyProtection="1">
      <alignment horizontal="center" vertical="center" wrapText="1"/>
      <protection locked="0"/>
    </xf>
    <xf numFmtId="0" fontId="21" fillId="0" borderId="0" xfId="0" applyFont="1">
      <alignment vertical="center"/>
    </xf>
    <xf numFmtId="0" fontId="0" fillId="0" borderId="0" xfId="0" applyAlignment="1">
      <alignment vertical="center" wrapText="1"/>
    </xf>
    <xf numFmtId="0" fontId="22" fillId="0" borderId="0" xfId="0" applyFont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7" fillId="5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center" vertical="center" wrapText="1"/>
    </xf>
    <xf numFmtId="14" fontId="24" fillId="0" borderId="1" xfId="0" applyNumberFormat="1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left" vertical="center" shrinkToFit="1"/>
    </xf>
    <xf numFmtId="0" fontId="27" fillId="0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left" vertical="center" wrapText="1"/>
    </xf>
    <xf numFmtId="0" fontId="24" fillId="0" borderId="0" xfId="0" applyFont="1" applyFill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23" fillId="0" borderId="8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 applyProtection="1">
      <alignment horizontal="center" vertical="center" wrapText="1"/>
      <protection locked="0"/>
    </xf>
    <xf numFmtId="0" fontId="27" fillId="5" borderId="3" xfId="0" applyFont="1" applyFill="1" applyBorder="1" applyAlignment="1" applyProtection="1">
      <alignment horizontal="center" vertical="center" wrapText="1"/>
      <protection locked="0"/>
    </xf>
    <xf numFmtId="0" fontId="23" fillId="2" borderId="9" xfId="0" applyFont="1" applyFill="1" applyBorder="1" applyAlignment="1">
      <alignment horizontal="center" vertical="center" wrapText="1"/>
    </xf>
    <xf numFmtId="0" fontId="23" fillId="0" borderId="10" xfId="0" applyFont="1" applyFill="1" applyBorder="1" applyAlignment="1">
      <alignment horizontal="center" vertical="center" wrapText="1"/>
    </xf>
    <xf numFmtId="0" fontId="23" fillId="0" borderId="11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0" fontId="23" fillId="0" borderId="13" xfId="0" applyFont="1" applyFill="1" applyBorder="1" applyAlignment="1">
      <alignment horizontal="center" vertical="center" wrapText="1"/>
    </xf>
    <xf numFmtId="0" fontId="23" fillId="0" borderId="14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23" fillId="0" borderId="2" xfId="0" applyFont="1" applyFill="1" applyBorder="1" applyAlignment="1">
      <alignment horizontal="left" vertical="center" wrapText="1"/>
    </xf>
    <xf numFmtId="0" fontId="23" fillId="0" borderId="3" xfId="0" applyFont="1" applyFill="1" applyBorder="1" applyAlignment="1">
      <alignment horizontal="left" vertical="center" wrapText="1"/>
    </xf>
    <xf numFmtId="0" fontId="27" fillId="5" borderId="15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作业风险评估表（变电运行.变二负责部分）" xfId="49"/>
    <cellStyle name="常规 2" xfId="5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Q33"/>
  <sheetViews>
    <sheetView tabSelected="1" workbookViewId="0">
      <pane ySplit="3" topLeftCell="A4" activePane="bottomLeft" state="frozen"/>
      <selection/>
      <selection pane="bottomLeft" activeCell="K31" sqref="K31"/>
    </sheetView>
  </sheetViews>
  <sheetFormatPr defaultColWidth="9" defaultRowHeight="14"/>
  <cols>
    <col min="1" max="1" width="10.6272727272727" customWidth="1"/>
    <col min="2" max="2" width="10.6272727272727" style="56" customWidth="1"/>
    <col min="3" max="3" width="10.6272727272727" customWidth="1"/>
    <col min="4" max="4" width="11.6272727272727" customWidth="1"/>
    <col min="5" max="11" width="10.6272727272727" customWidth="1"/>
    <col min="13" max="13" width="11.1272727272727" customWidth="1"/>
    <col min="14" max="14" width="10.3818181818182" customWidth="1"/>
    <col min="15" max="15" width="9.88181818181818" customWidth="1"/>
    <col min="19" max="19" width="7.25454545454545" customWidth="1"/>
    <col min="20" max="20" width="7.88181818181818" customWidth="1"/>
    <col min="21" max="21" width="7.38181818181818" customWidth="1"/>
    <col min="22" max="22" width="7.25454545454545" customWidth="1"/>
  </cols>
  <sheetData>
    <row r="1" ht="23" spans="1:17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94"/>
      <c r="K1" s="94"/>
      <c r="L1" s="94"/>
      <c r="M1" s="94"/>
      <c r="N1" s="94"/>
      <c r="O1" s="94"/>
      <c r="P1" s="94"/>
      <c r="Q1" s="94"/>
    </row>
    <row r="3" ht="25" customHeight="1" spans="1:9">
      <c r="A3" s="58" t="s">
        <v>1</v>
      </c>
      <c r="B3" s="58"/>
      <c r="C3" s="58"/>
      <c r="D3" s="58"/>
      <c r="E3" s="58"/>
      <c r="F3" s="58"/>
      <c r="G3" s="58"/>
      <c r="H3" s="59" t="str">
        <f>IF(I3&lt;20,"可接受",IF(I3&lt;70,"低风险",IF(I3&lt;200,"中风险",IF(I3&lt;400,"高风险","特高风险"))))</f>
        <v>低风险</v>
      </c>
      <c r="I3" s="59">
        <f>SUM(I7,I11,I26)</f>
        <v>58</v>
      </c>
    </row>
    <row r="4" ht="25" customHeight="1" spans="1:9">
      <c r="A4" s="60" t="s">
        <v>2</v>
      </c>
      <c r="B4" s="61" t="s">
        <v>3</v>
      </c>
      <c r="C4" s="61"/>
      <c r="D4" s="61"/>
      <c r="E4" s="60" t="s">
        <v>4</v>
      </c>
      <c r="F4" s="62" t="s">
        <v>5</v>
      </c>
      <c r="G4" s="62"/>
      <c r="H4" s="62"/>
      <c r="I4" s="62"/>
    </row>
    <row r="5" ht="67" customHeight="1" spans="1:9">
      <c r="A5" s="63" t="s">
        <v>6</v>
      </c>
      <c r="B5" s="64" t="s">
        <v>7</v>
      </c>
      <c r="C5" s="64"/>
      <c r="D5" s="64"/>
      <c r="E5" s="64"/>
      <c r="F5" s="60" t="s">
        <v>8</v>
      </c>
      <c r="G5" s="65" t="s">
        <v>9</v>
      </c>
      <c r="H5" s="60" t="s">
        <v>10</v>
      </c>
      <c r="I5" s="65">
        <f>SUM(F12:F18)</f>
        <v>11</v>
      </c>
    </row>
    <row r="6" ht="25" customHeight="1" spans="1:9">
      <c r="A6" s="60" t="s">
        <v>11</v>
      </c>
      <c r="B6" s="66">
        <v>45445</v>
      </c>
      <c r="C6" s="67"/>
      <c r="D6" s="60" t="s">
        <v>12</v>
      </c>
      <c r="E6" s="66">
        <v>45459</v>
      </c>
      <c r="F6" s="67"/>
      <c r="G6" s="60" t="s">
        <v>13</v>
      </c>
      <c r="H6" s="62">
        <f>_xlfn.DAYS(E6+1,B6)</f>
        <v>15</v>
      </c>
      <c r="I6" s="62"/>
    </row>
    <row r="7" ht="25" customHeight="1" spans="1:9">
      <c r="A7" s="68" t="s">
        <v>14</v>
      </c>
      <c r="B7" s="68"/>
      <c r="C7" s="68"/>
      <c r="D7" s="68"/>
      <c r="E7" s="68"/>
      <c r="F7" s="68"/>
      <c r="G7" s="68"/>
      <c r="H7" s="68"/>
      <c r="I7" s="68">
        <f>MAX(F9:F10)*I9</f>
        <v>20</v>
      </c>
    </row>
    <row r="8" ht="35" customHeight="1" spans="1:9">
      <c r="A8" s="69"/>
      <c r="B8" s="70" t="s">
        <v>15</v>
      </c>
      <c r="C8" s="70"/>
      <c r="D8" s="70"/>
      <c r="E8" s="70"/>
      <c r="F8" s="70" t="s">
        <v>16</v>
      </c>
      <c r="G8" s="70" t="s">
        <v>17</v>
      </c>
      <c r="H8" s="70" t="s">
        <v>18</v>
      </c>
      <c r="I8" s="70" t="s">
        <v>19</v>
      </c>
    </row>
    <row r="9" ht="17" customHeight="1" spans="1:9">
      <c r="A9" s="62" t="s">
        <v>20</v>
      </c>
      <c r="B9" s="65" t="s">
        <v>21</v>
      </c>
      <c r="C9" s="71" t="s">
        <v>22</v>
      </c>
      <c r="D9" s="71"/>
      <c r="E9" s="71"/>
      <c r="F9" s="72">
        <f>IF(ISERROR(VLOOKUP(C9,'典型作业项目库（不能删除）'!$C$4:$D$199,2,FALSE)),0,VLOOKUP(C9,'典型作业项目库（不能删除）'!$C$4:$D$199,2,FALSE))</f>
        <v>20</v>
      </c>
      <c r="G9" s="72" t="str">
        <f>IF(F9&lt;20,"可接受",IF(F9&lt;70,"低风险",IF(F9&lt;200,"中风险",IF(F9&lt;400,"高风险","特高风险"))))</f>
        <v>低风险</v>
      </c>
      <c r="H9" s="72">
        <f>COUNTA(C9:E10)</f>
        <v>1</v>
      </c>
      <c r="I9" s="72">
        <f>IF(H9=1,1,IF(H9&lt;4,1.1,IF(H9&gt;3,1.2)))</f>
        <v>1</v>
      </c>
    </row>
    <row r="10" ht="17" customHeight="1" spans="1:9">
      <c r="A10" s="62"/>
      <c r="B10" s="65" t="s">
        <v>23</v>
      </c>
      <c r="C10" s="71"/>
      <c r="D10" s="71"/>
      <c r="E10" s="71"/>
      <c r="F10" s="72">
        <f>IF(ISERROR(VLOOKUP(C10,'典型作业项目库（不能删除）'!$C$4:$D$199,2,FALSE)),0,VLOOKUP(C10,'典型作业项目库（不能删除）'!$C$4:$D$199,2,FALSE))</f>
        <v>0</v>
      </c>
      <c r="G10" s="72" t="str">
        <f>IF(F10&lt;20,"可接受",IF(F10&lt;70,"低风险",IF(F10&lt;200,"中风险",IF(F10&lt;400,"高风险","特高风险"))))</f>
        <v>可接受</v>
      </c>
      <c r="H10" s="72"/>
      <c r="I10" s="72"/>
    </row>
    <row r="11" customFormat="1" ht="25" customHeight="1" spans="1:9">
      <c r="A11" s="68" t="s">
        <v>24</v>
      </c>
      <c r="B11" s="68"/>
      <c r="C11" s="68"/>
      <c r="D11" s="68"/>
      <c r="E11" s="68"/>
      <c r="F11" s="68"/>
      <c r="G11" s="68"/>
      <c r="H11" s="68"/>
      <c r="I11" s="68">
        <f>SUM(I12:I25)</f>
        <v>11</v>
      </c>
    </row>
    <row r="12" ht="25" customHeight="1" spans="1:9">
      <c r="A12" s="62" t="s">
        <v>20</v>
      </c>
      <c r="B12" s="73" t="s">
        <v>25</v>
      </c>
      <c r="C12" s="74" t="str">
        <f>'作业人员能力（不能删除）'!A3</f>
        <v>工作负责人（含小组工作负责人）安全意识</v>
      </c>
      <c r="D12" s="74"/>
      <c r="E12" s="75" t="s">
        <v>26</v>
      </c>
      <c r="F12" s="76">
        <v>1</v>
      </c>
      <c r="G12" s="77" t="s">
        <v>27</v>
      </c>
      <c r="H12" s="78"/>
      <c r="I12" s="72">
        <f>IF(ISERROR(VLOOKUP(G12,'作业人员能力（不能删除）'!$A$4:$B$8,2,FALSE)),0,VLOOKUP(G12,'作业人员能力（不能删除）'!$A$4:$B$8,2,FALSE))</f>
        <v>0</v>
      </c>
    </row>
    <row r="13" s="55" customFormat="1" ht="25" customHeight="1" spans="1:9">
      <c r="A13" s="62"/>
      <c r="B13" s="79" t="s">
        <v>28</v>
      </c>
      <c r="C13" s="80" t="str">
        <f>'作业人员能力（不能删除）'!C3</f>
        <v>主要工作班成员（辅助工除外）安全意识</v>
      </c>
      <c r="D13" s="81"/>
      <c r="E13" s="75"/>
      <c r="F13" s="76">
        <v>10</v>
      </c>
      <c r="G13" s="82" t="s">
        <v>27</v>
      </c>
      <c r="H13" s="83"/>
      <c r="I13" s="72">
        <f>IF(ISERROR(VLOOKUP(G13,'作业人员能力（不能删除）'!$C$4:$D$8,2,FALSE)),0,VLOOKUP(G13,'作业人员能力（不能删除）'!$C$4:$D$8,2,FALSE))*F13</f>
        <v>0</v>
      </c>
    </row>
    <row r="14" s="55" customFormat="1" ht="25" customHeight="1" spans="1:9">
      <c r="A14" s="62"/>
      <c r="B14" s="84"/>
      <c r="C14" s="85"/>
      <c r="D14" s="86"/>
      <c r="E14" s="75"/>
      <c r="F14" s="76">
        <v>0</v>
      </c>
      <c r="G14" s="82" t="s">
        <v>29</v>
      </c>
      <c r="H14" s="83"/>
      <c r="I14" s="72">
        <f>IF(ISERROR(VLOOKUP(G14,'作业人员能力（不能删除）'!$C$4:$D$8,2,FALSE)),0,VLOOKUP(G14,'作业人员能力（不能删除）'!$C$4:$D$8,2,FALSE))*F14</f>
        <v>0</v>
      </c>
    </row>
    <row r="15" s="55" customFormat="1" ht="25" customHeight="1" spans="1:9">
      <c r="A15" s="62"/>
      <c r="B15" s="84"/>
      <c r="C15" s="85"/>
      <c r="D15" s="86"/>
      <c r="E15" s="75"/>
      <c r="F15" s="76">
        <v>0</v>
      </c>
      <c r="G15" s="82" t="s">
        <v>30</v>
      </c>
      <c r="H15" s="83"/>
      <c r="I15" s="72">
        <f>IF(ISERROR(VLOOKUP(G15,'作业人员能力（不能删除）'!$C$4:$D$8,2,FALSE)),0,VLOOKUP(G15,'作业人员能力（不能删除）'!$C$4:$D$8,2,FALSE))*F15</f>
        <v>0</v>
      </c>
    </row>
    <row r="16" s="55" customFormat="1" ht="25" customHeight="1" spans="1:9">
      <c r="A16" s="62"/>
      <c r="B16" s="84"/>
      <c r="C16" s="85"/>
      <c r="D16" s="86"/>
      <c r="E16" s="75"/>
      <c r="F16" s="76">
        <v>0</v>
      </c>
      <c r="G16" s="82" t="s">
        <v>31</v>
      </c>
      <c r="H16" s="83"/>
      <c r="I16" s="72">
        <f>IF(ISERROR(VLOOKUP(G16,'作业人员能力（不能删除）'!$C$4:$D$8,2,FALSE)),0,VLOOKUP(G16,'作业人员能力（不能删除）'!$C$4:$D$8,2,FALSE))*F16</f>
        <v>0</v>
      </c>
    </row>
    <row r="17" s="55" customFormat="1" ht="25" customHeight="1" spans="1:9">
      <c r="A17" s="62"/>
      <c r="B17" s="87"/>
      <c r="C17" s="88"/>
      <c r="D17" s="89"/>
      <c r="E17" s="75"/>
      <c r="F17" s="76">
        <v>0</v>
      </c>
      <c r="G17" s="82" t="s">
        <v>32</v>
      </c>
      <c r="H17" s="83"/>
      <c r="I17" s="72">
        <f>IF(ISERROR(VLOOKUP(G17,'作业人员能力（不能删除）'!$C$4:$D$8,2,FALSE)),0,VLOOKUP(G17,'作业人员能力（不能删除）'!$C$4:$D$8,2,FALSE))*F17</f>
        <v>0</v>
      </c>
    </row>
    <row r="18" ht="25" customHeight="1" spans="1:9">
      <c r="A18" s="62"/>
      <c r="B18" s="73" t="s">
        <v>33</v>
      </c>
      <c r="C18" s="74" t="str">
        <f>'作业人员能力（不能删除）'!E3</f>
        <v>监护人（含专职监护人）安全意识</v>
      </c>
      <c r="D18" s="74"/>
      <c r="E18" s="75"/>
      <c r="F18" s="76">
        <v>0</v>
      </c>
      <c r="G18" s="77" t="s">
        <v>27</v>
      </c>
      <c r="H18" s="78"/>
      <c r="I18" s="72">
        <f>IF(ISERROR(VLOOKUP(G18,'作业人员能力（不能删除）'!$C$4:$D$8,2,FALSE)),0,VLOOKUP(G18,'作业人员能力（不能删除）'!$C$4:$D$8,2,FALSE))*F18</f>
        <v>0</v>
      </c>
    </row>
    <row r="19" ht="25" customHeight="1" spans="1:9">
      <c r="A19" s="62"/>
      <c r="B19" s="73" t="s">
        <v>34</v>
      </c>
      <c r="C19" s="74" t="str">
        <f>'作业人员能力（不能删除）'!G3</f>
        <v>作业总人数</v>
      </c>
      <c r="D19" s="74"/>
      <c r="E19" s="90" t="s">
        <v>35</v>
      </c>
      <c r="F19" s="90"/>
      <c r="G19" s="90"/>
      <c r="H19" s="90"/>
      <c r="I19" s="72">
        <f>IF(ISERROR(VLOOKUP(E19,'作业人员能力（不能删除）'!$G$4:$H$9,2,FALSE)),0,VLOOKUP(E19,'作业人员能力（不能删除）'!$G$4:$H$9,2,FALSE))</f>
        <v>3</v>
      </c>
    </row>
    <row r="20" ht="25" customHeight="1" spans="1:9">
      <c r="A20" s="62"/>
      <c r="B20" s="73" t="s">
        <v>36</v>
      </c>
      <c r="C20" s="74" t="str">
        <f>'作业人员能力（不能删除）'!I3</f>
        <v>作业人员临时变更</v>
      </c>
      <c r="D20" s="74"/>
      <c r="E20" s="90" t="s">
        <v>37</v>
      </c>
      <c r="F20" s="90"/>
      <c r="G20" s="90"/>
      <c r="H20" s="90"/>
      <c r="I20" s="72">
        <f>IF(ISERROR(VLOOKUP(E20,'作业人员能力（不能删除）'!$I$4:$J$5,2,FALSE)),0,VLOOKUP(E20,'作业人员能力（不能删除）'!$I$4:$J$5,2,FALSE))</f>
        <v>0</v>
      </c>
    </row>
    <row r="21" ht="25" customHeight="1" spans="1:9">
      <c r="A21" s="62"/>
      <c r="B21" s="73" t="s">
        <v>38</v>
      </c>
      <c r="C21" s="74" t="str">
        <f>'作业人员能力（不能删除）'!K3</f>
        <v>人员性质</v>
      </c>
      <c r="D21" s="74"/>
      <c r="E21" s="90" t="s">
        <v>39</v>
      </c>
      <c r="F21" s="90"/>
      <c r="G21" s="90"/>
      <c r="H21" s="90"/>
      <c r="I21" s="72">
        <f>IF(ISERROR(VLOOKUP(E21,'作业人员能力（不能删除）'!$K$4:$L$6,2,FALSE)),0,VLOOKUP(E21,'作业人员能力（不能删除）'!$K$4:$L$6,2,FALSE))</f>
        <v>8</v>
      </c>
    </row>
    <row r="22" ht="25" customHeight="1" spans="1:9">
      <c r="A22" s="62"/>
      <c r="B22" s="73" t="s">
        <v>40</v>
      </c>
      <c r="C22" s="74" t="str">
        <f>'作业人员能力（不能删除）'!M3</f>
        <v>工作负责人（含小组工作负责人）组织同类型作业次数</v>
      </c>
      <c r="D22" s="74"/>
      <c r="E22" s="90" t="s">
        <v>41</v>
      </c>
      <c r="F22" s="90"/>
      <c r="G22" s="90"/>
      <c r="H22" s="90"/>
      <c r="I22" s="72">
        <f>IF(ISERROR(VLOOKUP(E22,'作业人员能力（不能删除）'!$M$4:$N$8,2,FALSE)),0,VLOOKUP(E22,'作业人员能力（不能删除）'!$M$4:$N$8,2,FALSE))</f>
        <v>0</v>
      </c>
    </row>
    <row r="23" ht="25" customHeight="1" spans="1:9">
      <c r="A23" s="62"/>
      <c r="B23" s="73" t="s">
        <v>42</v>
      </c>
      <c r="C23" s="74" t="str">
        <f>'作业人员能力（不能删除）'!O3</f>
        <v>主要工作班成员（辅助工除外）参与同类型作业次数</v>
      </c>
      <c r="D23" s="74"/>
      <c r="E23" s="90" t="s">
        <v>41</v>
      </c>
      <c r="F23" s="90"/>
      <c r="G23" s="90"/>
      <c r="H23" s="90"/>
      <c r="I23" s="72">
        <f>IF(ISERROR(VLOOKUP(E23,'作业人员能力（不能删除）'!$O$4:$P$8,2,FALSE)),0,VLOOKUP(E23,'作业人员能力（不能删除）'!$O$4:$P$8,2,FALSE))</f>
        <v>0</v>
      </c>
    </row>
    <row r="24" ht="25" customHeight="1" spans="1:9">
      <c r="A24" s="62"/>
      <c r="B24" s="73" t="s">
        <v>43</v>
      </c>
      <c r="C24" s="74" t="str">
        <f>'作业人员能力（不能删除）'!Q3</f>
        <v>监护人（含专职监护人）参与同类型作业次数</v>
      </c>
      <c r="D24" s="74"/>
      <c r="E24" s="90" t="s">
        <v>41</v>
      </c>
      <c r="F24" s="90"/>
      <c r="G24" s="90"/>
      <c r="H24" s="90"/>
      <c r="I24" s="72">
        <f>IF(ISERROR(VLOOKUP(E24,'作业人员能力（不能删除）'!$Q$4:$R$8,2,FALSE)),0,VLOOKUP(E24,'作业人员能力（不能删除）'!$Q$4:$R$8,2,FALSE))</f>
        <v>0</v>
      </c>
    </row>
    <row r="25" ht="25" customHeight="1" spans="1:9">
      <c r="A25" s="62"/>
      <c r="B25" s="73" t="s">
        <v>44</v>
      </c>
      <c r="C25" s="74" t="str">
        <f>'作业人员能力（不能删除）'!S3</f>
        <v>作业人员精神状态、疲劳程度</v>
      </c>
      <c r="D25" s="74"/>
      <c r="E25" s="90" t="s">
        <v>45</v>
      </c>
      <c r="F25" s="90"/>
      <c r="G25" s="90"/>
      <c r="H25" s="90"/>
      <c r="I25" s="72">
        <f>IF(ISERROR(VLOOKUP(E25,'作业人员能力（不能删除）'!$S$4:$T$7,2,FALSE)),0,VLOOKUP(E25,'作业人员能力（不能删除）'!$S$4:$T$7,2,FALSE))</f>
        <v>0</v>
      </c>
    </row>
    <row r="26" ht="25" customHeight="1" spans="1:9">
      <c r="A26" s="68" t="s">
        <v>46</v>
      </c>
      <c r="B26" s="68"/>
      <c r="C26" s="68"/>
      <c r="D26" s="68"/>
      <c r="E26" s="68"/>
      <c r="F26" s="68"/>
      <c r="G26" s="68"/>
      <c r="H26" s="68"/>
      <c r="I26" s="68">
        <f>SUM(I27:I33)</f>
        <v>27</v>
      </c>
    </row>
    <row r="27" ht="25" customHeight="1" spans="1:9">
      <c r="A27" s="62" t="s">
        <v>20</v>
      </c>
      <c r="B27" s="73" t="s">
        <v>47</v>
      </c>
      <c r="C27" s="74" t="str">
        <f>'作业环境和时间影响风险（不能删除）'!A3</f>
        <v>天气</v>
      </c>
      <c r="D27" s="74"/>
      <c r="E27" s="90" t="s">
        <v>48</v>
      </c>
      <c r="F27" s="90"/>
      <c r="G27" s="90"/>
      <c r="H27" s="90"/>
      <c r="I27" s="72">
        <f>IF(ISERROR(VLOOKUP(E27,'作业环境和时间影响风险（不能删除）'!$A$4:$B$9,2,FALSE)),0,VLOOKUP(E27,'作业环境和时间影响风险（不能删除）'!$A$4:$B$9,2,FALSE))</f>
        <v>0</v>
      </c>
    </row>
    <row r="28" ht="25" customHeight="1" spans="1:9">
      <c r="A28" s="62"/>
      <c r="B28" s="73" t="s">
        <v>49</v>
      </c>
      <c r="C28" s="74" t="str">
        <f>'作业环境和时间影响风险（不能删除）'!C3</f>
        <v>作业地段</v>
      </c>
      <c r="D28" s="74"/>
      <c r="E28" s="90" t="s">
        <v>50</v>
      </c>
      <c r="F28" s="90"/>
      <c r="G28" s="90"/>
      <c r="H28" s="90"/>
      <c r="I28" s="72">
        <f>IF(ISERROR(VLOOKUP(E28,'作业环境和时间影响风险（不能删除）'!$C$4:$D$11,2,FALSE)),0,VLOOKUP(E28,'作业环境和时间影响风险（不能删除）'!$C$4:$D$11,2,FALSE))</f>
        <v>15</v>
      </c>
    </row>
    <row r="29" ht="25" customHeight="1" spans="1:9">
      <c r="A29" s="62"/>
      <c r="B29" s="73" t="s">
        <v>51</v>
      </c>
      <c r="C29" s="74" t="str">
        <f>'作业环境和时间影响风险（不能删除）'!E3</f>
        <v>作业类型</v>
      </c>
      <c r="D29" s="74"/>
      <c r="E29" s="90" t="s">
        <v>52</v>
      </c>
      <c r="F29" s="90"/>
      <c r="G29" s="90"/>
      <c r="H29" s="90"/>
      <c r="I29" s="72">
        <f>IF(ISERROR(VLOOKUP(E29,'作业环境和时间影响风险（不能删除）'!$E$4:$F$10,2,FALSE)),0,VLOOKUP(E29,'作业环境和时间影响风险（不能删除）'!$E$4:$F$10,2,FALSE))</f>
        <v>10</v>
      </c>
    </row>
    <row r="30" ht="25" customHeight="1" spans="1:9">
      <c r="A30" s="62"/>
      <c r="B30" s="73" t="s">
        <v>53</v>
      </c>
      <c r="C30" s="74" t="str">
        <f>'作业环境和时间影响风险（不能删除）'!G3</f>
        <v>作业时段</v>
      </c>
      <c r="D30" s="74"/>
      <c r="E30" s="90" t="s">
        <v>54</v>
      </c>
      <c r="F30" s="90"/>
      <c r="G30" s="90"/>
      <c r="H30" s="90"/>
      <c r="I30" s="72">
        <f>IF(ISERROR(VLOOKUP(E30,'作业环境和时间影响风险（不能删除）'!$G$4:$H$8,2,FALSE)),0,VLOOKUP(E30,'作业环境和时间影响风险（不能删除）'!$G$4:$H$8,2,FALSE))</f>
        <v>0</v>
      </c>
    </row>
    <row r="31" ht="25" customHeight="1" spans="1:9">
      <c r="A31" s="62"/>
      <c r="B31" s="73" t="s">
        <v>55</v>
      </c>
      <c r="C31" s="74" t="str">
        <f>'作业环境和时间影响风险（不能删除）'!I3</f>
        <v>单日持续作业时长（疲劳度）</v>
      </c>
      <c r="D31" s="74"/>
      <c r="E31" s="90" t="s">
        <v>56</v>
      </c>
      <c r="F31" s="90"/>
      <c r="G31" s="90"/>
      <c r="H31" s="90"/>
      <c r="I31" s="72">
        <f>IF(ISERROR(VLOOKUP(E31,'作业环境和时间影响风险（不能删除）'!$I$4:$J$7,2,FALSE)),0,VLOOKUP(E31,'作业环境和时间影响风险（不能删除）'!$I$4:$J$7,2,FALSE))</f>
        <v>2</v>
      </c>
    </row>
    <row r="32" ht="25" customHeight="1" spans="1:9">
      <c r="A32" s="62"/>
      <c r="B32" s="73" t="s">
        <v>57</v>
      </c>
      <c r="C32" s="91" t="str">
        <f>'作业环境和时间影响风险（不能删除）'!K3</f>
        <v>计划性质</v>
      </c>
      <c r="D32" s="92"/>
      <c r="E32" s="77" t="s">
        <v>58</v>
      </c>
      <c r="F32" s="93"/>
      <c r="G32" s="93"/>
      <c r="H32" s="78"/>
      <c r="I32" s="72">
        <f>IF(ISERROR(VLOOKUP(E32,'作业环境和时间影响风险（不能删除）'!$K$4:$L$6,2,FALSE)),0,VLOOKUP(E32,'作业环境和时间影响风险（不能删除）'!$K$4:$L$6,2,FALSE))</f>
        <v>0</v>
      </c>
    </row>
    <row r="33" ht="25" customHeight="1" spans="1:9">
      <c r="A33" s="62"/>
      <c r="B33" s="73" t="s">
        <v>59</v>
      </c>
      <c r="C33" s="74" t="str">
        <f>'作业环境和时间影响风险（不能删除）'!M3</f>
        <v>关键重要站点（线路）</v>
      </c>
      <c r="D33" s="74"/>
      <c r="E33" s="90" t="s">
        <v>60</v>
      </c>
      <c r="F33" s="90"/>
      <c r="G33" s="90"/>
      <c r="H33" s="90"/>
      <c r="I33" s="72">
        <f>IF(ISERROR(VLOOKUP(E33,'作业环境和时间影响风险（不能删除）'!$M$4:$N$5,2,FALSE)),0,VLOOKUP(E33,'作业环境和时间影响风险（不能删除）'!$M$4:$N$5,2,FALSE))</f>
        <v>0</v>
      </c>
    </row>
  </sheetData>
  <mergeCells count="59">
    <mergeCell ref="A1:I1"/>
    <mergeCell ref="A3:G3"/>
    <mergeCell ref="B4:D4"/>
    <mergeCell ref="F4:I4"/>
    <mergeCell ref="B5:E5"/>
    <mergeCell ref="B6:C6"/>
    <mergeCell ref="E6:F6"/>
    <mergeCell ref="H6:I6"/>
    <mergeCell ref="A7:H7"/>
    <mergeCell ref="B8:E8"/>
    <mergeCell ref="C9:E9"/>
    <mergeCell ref="C10:E10"/>
    <mergeCell ref="A11:H11"/>
    <mergeCell ref="C12:D12"/>
    <mergeCell ref="G12:H12"/>
    <mergeCell ref="G13:H13"/>
    <mergeCell ref="G14:H14"/>
    <mergeCell ref="G15:H15"/>
    <mergeCell ref="G16:H16"/>
    <mergeCell ref="G17:H17"/>
    <mergeCell ref="C18:D18"/>
    <mergeCell ref="G18:H18"/>
    <mergeCell ref="C19:D19"/>
    <mergeCell ref="E19:H19"/>
    <mergeCell ref="C20:D20"/>
    <mergeCell ref="E20:H20"/>
    <mergeCell ref="C21:D21"/>
    <mergeCell ref="E21:H21"/>
    <mergeCell ref="C22:D22"/>
    <mergeCell ref="E22:H22"/>
    <mergeCell ref="C23:D23"/>
    <mergeCell ref="E23:H23"/>
    <mergeCell ref="C24:D24"/>
    <mergeCell ref="E24:H24"/>
    <mergeCell ref="C25:D25"/>
    <mergeCell ref="E25:H25"/>
    <mergeCell ref="A26:H26"/>
    <mergeCell ref="C27:D27"/>
    <mergeCell ref="E27:H27"/>
    <mergeCell ref="C28:D28"/>
    <mergeCell ref="E28:H28"/>
    <mergeCell ref="C29:D29"/>
    <mergeCell ref="E29:H29"/>
    <mergeCell ref="C30:D30"/>
    <mergeCell ref="E30:H30"/>
    <mergeCell ref="C31:D31"/>
    <mergeCell ref="E31:H31"/>
    <mergeCell ref="C32:D32"/>
    <mergeCell ref="E32:H32"/>
    <mergeCell ref="C33:D33"/>
    <mergeCell ref="E33:H33"/>
    <mergeCell ref="A9:A10"/>
    <mergeCell ref="A12:A25"/>
    <mergeCell ref="A27:A33"/>
    <mergeCell ref="B13:B17"/>
    <mergeCell ref="E12:E18"/>
    <mergeCell ref="H9:H10"/>
    <mergeCell ref="I9:I10"/>
    <mergeCell ref="C13:D17"/>
  </mergeCells>
  <conditionalFormatting sqref="E25:I25">
    <cfRule type="duplicateValues" dxfId="0" priority="31"/>
  </conditionalFormatting>
  <conditionalFormatting sqref="C9:C10">
    <cfRule type="iconSet" priority="29">
      <iconSet iconSet="3TrafficLights1">
        <cfvo type="percent" val="0"/>
        <cfvo type="percent" val="33"/>
        <cfvo type="percent" val="67"/>
      </iconSet>
    </cfRule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{7e3f4d80-d984-4e83-bc2c-462ea6dec0d3}</x14:id>
        </ext>
      </extLst>
    </cfRule>
  </conditionalFormatting>
  <dataValidations count="18">
    <dataValidation type="list" allowBlank="1" showInputMessage="1" showErrorMessage="1" sqref="B4">
      <formula1>"500kV输电线路一班,500kV输电线路二班,惠城输电线路班,仲恺输电线路班,惠阳输电线路一班,惠阳输电线路二班,博罗输电线路一班,博罗输电线路二班,博罗输电线路三班,惠东输电线路一班,惠东输电线路二班,龙门输电线路一班,龙门输电线路二班,输电电缆班,机巡作业班"</formula1>
    </dataValidation>
    <dataValidation type="list" allowBlank="1" showInputMessage="1" showErrorMessage="1" sqref="G12 H12">
      <formula1>'作业人员能力（不能删除）'!$A$4:$A$8</formula1>
    </dataValidation>
    <dataValidation type="list" allowBlank="1" showInputMessage="1" showErrorMessage="1" sqref="G18 H18">
      <formula1>'作业人员能力（不能删除）'!$E$4:$E$8</formula1>
    </dataValidation>
    <dataValidation type="list" allowBlank="1" showInputMessage="1" showErrorMessage="1" sqref="E19:H19">
      <formula1>'作业人员能力（不能删除）'!$G$4:$G$9</formula1>
    </dataValidation>
    <dataValidation type="list" allowBlank="1" showInputMessage="1" showErrorMessage="1" sqref="E20:H20">
      <formula1>'作业人员能力（不能删除）'!$I$4:$I$5</formula1>
    </dataValidation>
    <dataValidation type="list" allowBlank="1" showInputMessage="1" showErrorMessage="1" sqref="E21:H21">
      <formula1>'作业人员能力（不能删除）'!$K$4:$K$6</formula1>
    </dataValidation>
    <dataValidation type="list" allowBlank="1" showInputMessage="1" showErrorMessage="1" sqref="E22:H22">
      <formula1>'作业人员能力（不能删除）'!$M$4:$M$8</formula1>
    </dataValidation>
    <dataValidation type="list" allowBlank="1" showInputMessage="1" showErrorMessage="1" sqref="E23:H23">
      <formula1>'作业人员能力（不能删除）'!$O$4:$O$8</formula1>
    </dataValidation>
    <dataValidation type="list" allowBlank="1" showInputMessage="1" showErrorMessage="1" sqref="E24:H24">
      <formula1>'作业人员能力（不能删除）'!$Q$4:$Q$8</formula1>
    </dataValidation>
    <dataValidation type="list" allowBlank="1" showInputMessage="1" showErrorMessage="1" sqref="E25:H25">
      <formula1>'作业人员能力（不能删除）'!$S$4:$S$7</formula1>
    </dataValidation>
    <dataValidation type="list" allowBlank="1" showInputMessage="1" showErrorMessage="1" sqref="E27:H27">
      <formula1>'作业环境和时间影响风险（不能删除）'!$A$4:$A$9</formula1>
    </dataValidation>
    <dataValidation type="list" allowBlank="1" showInputMessage="1" showErrorMessage="1" sqref="E28:H28">
      <formula1>'作业环境和时间影响风险（不能删除）'!$C$4:$C$11</formula1>
    </dataValidation>
    <dataValidation type="list" allowBlank="1" showInputMessage="1" showErrorMessage="1" sqref="E29:H29">
      <formula1>'作业环境和时间影响风险（不能删除）'!$E$4:$E$10</formula1>
    </dataValidation>
    <dataValidation type="list" allowBlank="1" showInputMessage="1" showErrorMessage="1" sqref="E30:H30">
      <formula1>'作业环境和时间影响风险（不能删除）'!$G$4:$G$8</formula1>
    </dataValidation>
    <dataValidation type="list" allowBlank="1" showInputMessage="1" showErrorMessage="1" sqref="E31:H31">
      <formula1>'作业环境和时间影响风险（不能删除）'!$I$4:$I$7</formula1>
    </dataValidation>
    <dataValidation type="list" allowBlank="1" showInputMessage="1" showErrorMessage="1" sqref="E32:H32">
      <formula1>'作业环境和时间影响风险（不能删除）'!$K$4:$K$6</formula1>
    </dataValidation>
    <dataValidation type="list" allowBlank="1" showInputMessage="1" showErrorMessage="1" sqref="E33:H33">
      <formula1>'作业环境和时间影响风险（不能删除）'!$M$4:$M$5</formula1>
    </dataValidation>
    <dataValidation type="list" allowBlank="1" showInputMessage="1" showErrorMessage="1" sqref="C9:E10">
      <formula1>'典型作业项目库（不能删除）'!$C$4:$C$199</formula1>
    </dataValidation>
  </dataValidations>
  <pageMargins left="0.700694444444445" right="0.700694444444445" top="0.751388888888889" bottom="0.751388888888889" header="0.298611111111111" footer="0.298611111111111"/>
  <pageSetup paperSize="9" scale="92" fitToHeight="0" orientation="portrait" horizontalDpi="600"/>
  <headerFooter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3f4d80-d984-4e83-bc2c-462ea6dec0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C9:C10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0000"/>
  </sheetPr>
  <dimension ref="A1:I199"/>
  <sheetViews>
    <sheetView zoomScale="115" zoomScaleNormal="115" workbookViewId="0">
      <pane ySplit="2" topLeftCell="A3" activePane="bottomLeft" state="frozen"/>
      <selection/>
      <selection pane="bottomLeft" activeCell="C12" sqref="C12"/>
    </sheetView>
  </sheetViews>
  <sheetFormatPr defaultColWidth="14.7545454545455" defaultRowHeight="13"/>
  <cols>
    <col min="1" max="1" width="6.91818181818182" style="26" customWidth="1"/>
    <col min="2" max="2" width="13.0363636363636" style="26" customWidth="1"/>
    <col min="3" max="3" width="56.5181818181818" style="27" customWidth="1"/>
    <col min="4" max="4" width="9.70909090909091" style="28" customWidth="1"/>
    <col min="5" max="5" width="11.7272727272727" style="26" customWidth="1"/>
    <col min="6" max="6" width="9.70909090909091" style="26" customWidth="1"/>
    <col min="7" max="7" width="43.2636363636364" style="26" hidden="1" customWidth="1"/>
    <col min="8" max="8" width="9.88181818181818" style="26" hidden="1" customWidth="1"/>
    <col min="9" max="9" width="12.8818181818182" style="26" hidden="1" customWidth="1"/>
    <col min="10" max="16378" width="14.7545454545455" style="26" customWidth="1"/>
    <col min="16379" max="16384" width="14.7545454545455" style="26"/>
  </cols>
  <sheetData>
    <row r="1" ht="24" customHeight="1" spans="1:1">
      <c r="A1" s="29" t="s">
        <v>61</v>
      </c>
    </row>
    <row r="2" s="26" customFormat="1" ht="35" customHeight="1" spans="1:9">
      <c r="A2" s="30" t="s">
        <v>62</v>
      </c>
      <c r="B2" s="31" t="s">
        <v>63</v>
      </c>
      <c r="C2" s="32" t="s">
        <v>64</v>
      </c>
      <c r="D2" s="33" t="s">
        <v>16</v>
      </c>
      <c r="E2" s="31" t="s">
        <v>65</v>
      </c>
      <c r="F2" s="30" t="s">
        <v>66</v>
      </c>
      <c r="G2" s="34" t="s">
        <v>67</v>
      </c>
      <c r="H2" s="35" t="s">
        <v>68</v>
      </c>
      <c r="I2" s="34" t="s">
        <v>69</v>
      </c>
    </row>
    <row r="3" s="26" customFormat="1" ht="17" customHeight="1" spans="1:9">
      <c r="A3" s="36">
        <v>1</v>
      </c>
      <c r="B3" s="37" t="s">
        <v>70</v>
      </c>
      <c r="C3" s="38" t="s">
        <v>71</v>
      </c>
      <c r="D3" s="39">
        <v>75</v>
      </c>
      <c r="E3" s="37" t="s">
        <v>72</v>
      </c>
      <c r="F3" s="40"/>
      <c r="G3" s="41"/>
      <c r="H3" s="42"/>
      <c r="I3" s="51"/>
    </row>
    <row r="4" s="26" customFormat="1" spans="1:9">
      <c r="A4" s="36">
        <v>2</v>
      </c>
      <c r="B4" s="37" t="s">
        <v>70</v>
      </c>
      <c r="C4" s="43" t="s">
        <v>73</v>
      </c>
      <c r="D4" s="44">
        <v>20</v>
      </c>
      <c r="E4" s="44" t="s">
        <v>74</v>
      </c>
      <c r="F4" s="40"/>
      <c r="G4" s="45" t="s">
        <v>75</v>
      </c>
      <c r="H4" s="46">
        <v>20</v>
      </c>
      <c r="I4" s="46" t="s">
        <v>74</v>
      </c>
    </row>
    <row r="5" s="26" customFormat="1" spans="1:9">
      <c r="A5" s="36">
        <v>3</v>
      </c>
      <c r="B5" s="37" t="s">
        <v>70</v>
      </c>
      <c r="C5" s="43" t="s">
        <v>76</v>
      </c>
      <c r="D5" s="44">
        <v>20</v>
      </c>
      <c r="E5" s="44" t="s">
        <v>74</v>
      </c>
      <c r="F5" s="40"/>
      <c r="G5" s="45" t="s">
        <v>77</v>
      </c>
      <c r="H5" s="46">
        <v>20</v>
      </c>
      <c r="I5" s="46" t="s">
        <v>74</v>
      </c>
    </row>
    <row r="6" s="26" customFormat="1" spans="1:9">
      <c r="A6" s="36">
        <v>4</v>
      </c>
      <c r="B6" s="37" t="s">
        <v>70</v>
      </c>
      <c r="C6" s="43" t="s">
        <v>78</v>
      </c>
      <c r="D6" s="44">
        <v>20</v>
      </c>
      <c r="E6" s="44" t="s">
        <v>74</v>
      </c>
      <c r="F6" s="40"/>
      <c r="G6" s="45" t="s">
        <v>79</v>
      </c>
      <c r="H6" s="46">
        <v>20</v>
      </c>
      <c r="I6" s="46" t="s">
        <v>74</v>
      </c>
    </row>
    <row r="7" s="26" customFormat="1" spans="1:9">
      <c r="A7" s="36">
        <v>5</v>
      </c>
      <c r="B7" s="37" t="s">
        <v>70</v>
      </c>
      <c r="C7" s="43" t="s">
        <v>80</v>
      </c>
      <c r="D7" s="44">
        <v>20</v>
      </c>
      <c r="E7" s="44" t="s">
        <v>74</v>
      </c>
      <c r="F7" s="40"/>
      <c r="G7" s="45" t="s">
        <v>81</v>
      </c>
      <c r="H7" s="46">
        <v>20</v>
      </c>
      <c r="I7" s="46" t="s">
        <v>74</v>
      </c>
    </row>
    <row r="8" s="26" customFormat="1" spans="1:9">
      <c r="A8" s="36">
        <v>6</v>
      </c>
      <c r="B8" s="37" t="s">
        <v>70</v>
      </c>
      <c r="C8" s="43" t="s">
        <v>79</v>
      </c>
      <c r="D8" s="44">
        <v>20</v>
      </c>
      <c r="E8" s="44" t="s">
        <v>74</v>
      </c>
      <c r="F8" s="40"/>
      <c r="G8" s="45" t="s">
        <v>73</v>
      </c>
      <c r="H8" s="46">
        <v>20</v>
      </c>
      <c r="I8" s="46" t="s">
        <v>74</v>
      </c>
    </row>
    <row r="9" s="26" customFormat="1" spans="1:9">
      <c r="A9" s="36">
        <v>7</v>
      </c>
      <c r="B9" s="37" t="s">
        <v>70</v>
      </c>
      <c r="C9" s="43" t="s">
        <v>81</v>
      </c>
      <c r="D9" s="44">
        <v>20</v>
      </c>
      <c r="E9" s="44" t="s">
        <v>74</v>
      </c>
      <c r="F9" s="40"/>
      <c r="G9" s="45" t="s">
        <v>82</v>
      </c>
      <c r="H9" s="46">
        <v>30</v>
      </c>
      <c r="I9" s="46" t="s">
        <v>74</v>
      </c>
    </row>
    <row r="10" s="26" customFormat="1" spans="1:9">
      <c r="A10" s="36">
        <v>8</v>
      </c>
      <c r="B10" s="37" t="s">
        <v>70</v>
      </c>
      <c r="C10" s="43" t="s">
        <v>83</v>
      </c>
      <c r="D10" s="44">
        <v>20</v>
      </c>
      <c r="E10" s="44" t="s">
        <v>74</v>
      </c>
      <c r="F10" s="40"/>
      <c r="G10" s="45" t="s">
        <v>76</v>
      </c>
      <c r="H10" s="46">
        <v>20</v>
      </c>
      <c r="I10" s="46" t="s">
        <v>74</v>
      </c>
    </row>
    <row r="11" s="26" customFormat="1" spans="1:9">
      <c r="A11" s="36">
        <v>9</v>
      </c>
      <c r="B11" s="37" t="s">
        <v>70</v>
      </c>
      <c r="C11" s="43" t="s">
        <v>22</v>
      </c>
      <c r="D11" s="44">
        <v>20</v>
      </c>
      <c r="E11" s="44" t="s">
        <v>74</v>
      </c>
      <c r="F11" s="40"/>
      <c r="G11" s="45" t="s">
        <v>78</v>
      </c>
      <c r="H11" s="46">
        <v>20</v>
      </c>
      <c r="I11" s="46" t="s">
        <v>74</v>
      </c>
    </row>
    <row r="12" s="26" customFormat="1" spans="1:9">
      <c r="A12" s="36">
        <v>10</v>
      </c>
      <c r="B12" s="37" t="s">
        <v>70</v>
      </c>
      <c r="C12" s="43" t="s">
        <v>84</v>
      </c>
      <c r="D12" s="44">
        <v>20</v>
      </c>
      <c r="E12" s="44" t="s">
        <v>74</v>
      </c>
      <c r="F12" s="40"/>
      <c r="G12" s="45" t="s">
        <v>85</v>
      </c>
      <c r="H12" s="46">
        <v>10</v>
      </c>
      <c r="I12" s="46" t="s">
        <v>86</v>
      </c>
    </row>
    <row r="13" s="26" customFormat="1" spans="1:9">
      <c r="A13" s="36">
        <v>11</v>
      </c>
      <c r="B13" s="37" t="s">
        <v>70</v>
      </c>
      <c r="C13" s="43" t="s">
        <v>87</v>
      </c>
      <c r="D13" s="44">
        <v>35</v>
      </c>
      <c r="E13" s="44" t="s">
        <v>74</v>
      </c>
      <c r="F13" s="40"/>
      <c r="G13" s="45" t="s">
        <v>83</v>
      </c>
      <c r="H13" s="46">
        <v>20</v>
      </c>
      <c r="I13" s="46" t="s">
        <v>74</v>
      </c>
    </row>
    <row r="14" s="26" customFormat="1" spans="1:9">
      <c r="A14" s="36">
        <v>12</v>
      </c>
      <c r="B14" s="37" t="s">
        <v>70</v>
      </c>
      <c r="C14" s="38" t="s">
        <v>88</v>
      </c>
      <c r="D14" s="44">
        <v>30</v>
      </c>
      <c r="E14" s="44" t="s">
        <v>74</v>
      </c>
      <c r="F14" s="40"/>
      <c r="G14" s="45" t="s">
        <v>80</v>
      </c>
      <c r="H14" s="46">
        <v>20</v>
      </c>
      <c r="I14" s="46" t="s">
        <v>74</v>
      </c>
    </row>
    <row r="15" spans="1:9">
      <c r="A15" s="36">
        <v>13</v>
      </c>
      <c r="B15" s="37" t="s">
        <v>70</v>
      </c>
      <c r="C15" s="43" t="s">
        <v>89</v>
      </c>
      <c r="D15" s="44">
        <v>20</v>
      </c>
      <c r="E15" s="44" t="s">
        <v>74</v>
      </c>
      <c r="F15" s="40"/>
      <c r="G15" s="45" t="s">
        <v>90</v>
      </c>
      <c r="H15" s="46">
        <v>35</v>
      </c>
      <c r="I15" s="46" t="s">
        <v>74</v>
      </c>
    </row>
    <row r="16" customFormat="1" ht="14" spans="1:9">
      <c r="A16" s="36">
        <v>14</v>
      </c>
      <c r="B16" s="37" t="s">
        <v>70</v>
      </c>
      <c r="C16" s="43" t="s">
        <v>91</v>
      </c>
      <c r="D16" s="44">
        <v>20</v>
      </c>
      <c r="E16" s="44" t="s">
        <v>74</v>
      </c>
      <c r="F16" s="40"/>
      <c r="G16" s="45"/>
      <c r="H16" s="46"/>
      <c r="I16" s="46"/>
    </row>
    <row r="17" s="26" customFormat="1" spans="1:9">
      <c r="A17" s="36">
        <v>15</v>
      </c>
      <c r="B17" s="37" t="s">
        <v>70</v>
      </c>
      <c r="C17" s="43" t="s">
        <v>92</v>
      </c>
      <c r="D17" s="44">
        <v>20</v>
      </c>
      <c r="E17" s="44" t="s">
        <v>74</v>
      </c>
      <c r="F17" s="40"/>
      <c r="G17" s="45" t="s">
        <v>93</v>
      </c>
      <c r="H17" s="46">
        <v>20</v>
      </c>
      <c r="I17" s="46" t="s">
        <v>74</v>
      </c>
    </row>
    <row r="18" s="26" customFormat="1" spans="1:9">
      <c r="A18" s="36">
        <v>16</v>
      </c>
      <c r="B18" s="37" t="s">
        <v>70</v>
      </c>
      <c r="C18" s="38" t="s">
        <v>94</v>
      </c>
      <c r="D18" s="44">
        <v>20</v>
      </c>
      <c r="E18" s="44" t="s">
        <v>74</v>
      </c>
      <c r="F18" s="40"/>
      <c r="G18" s="45"/>
      <c r="H18" s="46"/>
      <c r="I18" s="46"/>
    </row>
    <row r="19" s="26" customFormat="1" spans="1:9">
      <c r="A19" s="36">
        <v>17</v>
      </c>
      <c r="B19" s="37" t="s">
        <v>70</v>
      </c>
      <c r="C19" s="43" t="s">
        <v>95</v>
      </c>
      <c r="D19" s="44">
        <v>30</v>
      </c>
      <c r="E19" s="44" t="s">
        <v>74</v>
      </c>
      <c r="F19" s="40"/>
      <c r="G19" s="45"/>
      <c r="H19" s="46"/>
      <c r="I19" s="46"/>
    </row>
    <row r="20" s="26" customFormat="1" spans="1:9">
      <c r="A20" s="36">
        <v>18</v>
      </c>
      <c r="B20" s="37" t="s">
        <v>70</v>
      </c>
      <c r="C20" s="43" t="s">
        <v>96</v>
      </c>
      <c r="D20" s="44">
        <v>30</v>
      </c>
      <c r="E20" s="44" t="s">
        <v>74</v>
      </c>
      <c r="F20" s="40"/>
      <c r="G20" s="45"/>
      <c r="H20" s="46"/>
      <c r="I20" s="46"/>
    </row>
    <row r="21" s="26" customFormat="1" spans="1:9">
      <c r="A21" s="36">
        <v>19</v>
      </c>
      <c r="B21" s="37" t="s">
        <v>70</v>
      </c>
      <c r="C21" s="43" t="s">
        <v>97</v>
      </c>
      <c r="D21" s="44">
        <v>30</v>
      </c>
      <c r="E21" s="44" t="s">
        <v>74</v>
      </c>
      <c r="F21" s="40"/>
      <c r="G21" s="45"/>
      <c r="H21" s="46"/>
      <c r="I21" s="46"/>
    </row>
    <row r="22" s="26" customFormat="1" spans="1:9">
      <c r="A22" s="36">
        <v>20</v>
      </c>
      <c r="B22" s="37" t="s">
        <v>70</v>
      </c>
      <c r="C22" s="43" t="s">
        <v>98</v>
      </c>
      <c r="D22" s="44">
        <v>30</v>
      </c>
      <c r="E22" s="44" t="s">
        <v>74</v>
      </c>
      <c r="F22" s="40"/>
      <c r="G22" s="45"/>
      <c r="H22" s="46"/>
      <c r="I22" s="46"/>
    </row>
    <row r="23" s="26" customFormat="1" spans="1:9">
      <c r="A23" s="36">
        <v>21</v>
      </c>
      <c r="B23" s="37" t="s">
        <v>70</v>
      </c>
      <c r="C23" s="38" t="s">
        <v>99</v>
      </c>
      <c r="D23" s="44">
        <v>30</v>
      </c>
      <c r="E23" s="44" t="s">
        <v>74</v>
      </c>
      <c r="F23" s="40"/>
      <c r="G23" s="45" t="s">
        <v>22</v>
      </c>
      <c r="H23" s="46">
        <v>20</v>
      </c>
      <c r="I23" s="46" t="s">
        <v>74</v>
      </c>
    </row>
    <row r="24" s="26" customFormat="1" spans="1:9">
      <c r="A24" s="36">
        <v>22</v>
      </c>
      <c r="B24" s="37" t="s">
        <v>70</v>
      </c>
      <c r="C24" s="43" t="s">
        <v>100</v>
      </c>
      <c r="D24" s="44">
        <v>15</v>
      </c>
      <c r="E24" s="37" t="s">
        <v>86</v>
      </c>
      <c r="F24" s="40"/>
      <c r="G24" s="45" t="s">
        <v>84</v>
      </c>
      <c r="H24" s="46">
        <v>20</v>
      </c>
      <c r="I24" s="46" t="s">
        <v>74</v>
      </c>
    </row>
    <row r="25" s="26" customFormat="1" spans="1:9">
      <c r="A25" s="36">
        <v>23</v>
      </c>
      <c r="B25" s="37" t="s">
        <v>70</v>
      </c>
      <c r="C25" s="43" t="s">
        <v>85</v>
      </c>
      <c r="D25" s="44">
        <v>8</v>
      </c>
      <c r="E25" s="37" t="s">
        <v>86</v>
      </c>
      <c r="F25" s="40"/>
      <c r="G25" s="45" t="s">
        <v>101</v>
      </c>
      <c r="H25" s="46">
        <v>15</v>
      </c>
      <c r="I25" s="46" t="s">
        <v>86</v>
      </c>
    </row>
    <row r="26" s="26" customFormat="1" spans="1:9">
      <c r="A26" s="36">
        <v>24</v>
      </c>
      <c r="B26" s="37" t="s">
        <v>70</v>
      </c>
      <c r="C26" s="43" t="s">
        <v>102</v>
      </c>
      <c r="D26" s="44">
        <v>8</v>
      </c>
      <c r="E26" s="37" t="s">
        <v>86</v>
      </c>
      <c r="F26" s="40"/>
      <c r="G26" s="45" t="s">
        <v>103</v>
      </c>
      <c r="H26" s="46">
        <v>20</v>
      </c>
      <c r="I26" s="46" t="s">
        <v>74</v>
      </c>
    </row>
    <row r="27" spans="1:9">
      <c r="A27" s="36">
        <v>25</v>
      </c>
      <c r="B27" s="37" t="s">
        <v>70</v>
      </c>
      <c r="C27" s="43" t="s">
        <v>104</v>
      </c>
      <c r="D27" s="44">
        <v>15</v>
      </c>
      <c r="E27" s="37" t="s">
        <v>86</v>
      </c>
      <c r="F27" s="40"/>
      <c r="G27" s="45" t="s">
        <v>105</v>
      </c>
      <c r="H27" s="46">
        <v>10</v>
      </c>
      <c r="I27" s="46" t="s">
        <v>86</v>
      </c>
    </row>
    <row r="28" spans="1:9">
      <c r="A28" s="36">
        <v>26</v>
      </c>
      <c r="B28" s="37" t="s">
        <v>70</v>
      </c>
      <c r="C28" s="43" t="s">
        <v>106</v>
      </c>
      <c r="D28" s="44">
        <v>8</v>
      </c>
      <c r="E28" s="37" t="s">
        <v>86</v>
      </c>
      <c r="F28" s="40"/>
      <c r="G28" s="45" t="s">
        <v>107</v>
      </c>
      <c r="H28" s="46">
        <v>10</v>
      </c>
      <c r="I28" s="46" t="s">
        <v>86</v>
      </c>
    </row>
    <row r="29" s="26" customFormat="1" spans="1:9">
      <c r="A29" s="36">
        <v>27</v>
      </c>
      <c r="B29" s="37" t="s">
        <v>70</v>
      </c>
      <c r="C29" s="43" t="s">
        <v>108</v>
      </c>
      <c r="D29" s="44">
        <v>8</v>
      </c>
      <c r="E29" s="37" t="s">
        <v>86</v>
      </c>
      <c r="F29" s="40"/>
      <c r="G29" s="45"/>
      <c r="H29" s="46"/>
      <c r="I29" s="46"/>
    </row>
    <row r="30" s="26" customFormat="1" spans="1:9">
      <c r="A30" s="36">
        <v>28</v>
      </c>
      <c r="B30" s="37" t="s">
        <v>70</v>
      </c>
      <c r="C30" s="43" t="s">
        <v>109</v>
      </c>
      <c r="D30" s="44">
        <v>8</v>
      </c>
      <c r="E30" s="37" t="s">
        <v>86</v>
      </c>
      <c r="F30" s="40"/>
      <c r="G30" s="45" t="s">
        <v>110</v>
      </c>
      <c r="H30" s="46">
        <v>20</v>
      </c>
      <c r="I30" s="46" t="s">
        <v>74</v>
      </c>
    </row>
    <row r="31" s="26" customFormat="1" spans="1:9">
      <c r="A31" s="36">
        <v>29</v>
      </c>
      <c r="B31" s="37" t="s">
        <v>70</v>
      </c>
      <c r="C31" s="38" t="s">
        <v>111</v>
      </c>
      <c r="D31" s="44">
        <v>8</v>
      </c>
      <c r="E31" s="37" t="s">
        <v>86</v>
      </c>
      <c r="F31" s="40"/>
      <c r="G31" s="45"/>
      <c r="H31" s="46"/>
      <c r="I31" s="46"/>
    </row>
    <row r="32" s="26" customFormat="1" spans="1:9">
      <c r="A32" s="36">
        <v>30</v>
      </c>
      <c r="B32" s="37" t="s">
        <v>70</v>
      </c>
      <c r="C32" s="43" t="s">
        <v>112</v>
      </c>
      <c r="D32" s="44">
        <v>7</v>
      </c>
      <c r="E32" s="37" t="s">
        <v>86</v>
      </c>
      <c r="F32" s="40"/>
      <c r="G32" s="45"/>
      <c r="H32" s="46"/>
      <c r="I32" s="46"/>
    </row>
    <row r="33" s="26" customFormat="1" spans="1:9">
      <c r="A33" s="36">
        <v>31</v>
      </c>
      <c r="B33" s="37" t="s">
        <v>70</v>
      </c>
      <c r="C33" s="47" t="s">
        <v>113</v>
      </c>
      <c r="D33" s="44">
        <v>20</v>
      </c>
      <c r="E33" s="44" t="s">
        <v>74</v>
      </c>
      <c r="F33" s="40"/>
      <c r="G33" s="45" t="s">
        <v>87</v>
      </c>
      <c r="H33" s="46">
        <v>35</v>
      </c>
      <c r="I33" s="46" t="s">
        <v>74</v>
      </c>
    </row>
    <row r="34" s="26" customFormat="1" spans="1:9">
      <c r="A34" s="36">
        <v>32</v>
      </c>
      <c r="B34" s="37" t="s">
        <v>70</v>
      </c>
      <c r="C34" s="47" t="s">
        <v>114</v>
      </c>
      <c r="D34" s="44">
        <v>20</v>
      </c>
      <c r="E34" s="44" t="s">
        <v>74</v>
      </c>
      <c r="F34" s="40"/>
      <c r="G34" s="45" t="s">
        <v>115</v>
      </c>
      <c r="H34" s="46">
        <v>20</v>
      </c>
      <c r="I34" s="46" t="s">
        <v>74</v>
      </c>
    </row>
    <row r="35" s="26" customFormat="1" spans="1:9">
      <c r="A35" s="36">
        <v>33</v>
      </c>
      <c r="B35" s="37" t="s">
        <v>70</v>
      </c>
      <c r="C35" s="38" t="s">
        <v>116</v>
      </c>
      <c r="D35" s="44">
        <v>5</v>
      </c>
      <c r="E35" s="37" t="s">
        <v>86</v>
      </c>
      <c r="F35" s="40"/>
      <c r="G35" s="45" t="s">
        <v>117</v>
      </c>
      <c r="H35" s="46">
        <v>20</v>
      </c>
      <c r="I35" s="46" t="s">
        <v>74</v>
      </c>
    </row>
    <row r="36" s="26" customFormat="1" spans="1:9">
      <c r="A36" s="36">
        <v>34</v>
      </c>
      <c r="B36" s="37" t="s">
        <v>70</v>
      </c>
      <c r="C36" s="38" t="s">
        <v>118</v>
      </c>
      <c r="D36" s="44">
        <v>20</v>
      </c>
      <c r="E36" s="44" t="s">
        <v>74</v>
      </c>
      <c r="F36" s="40"/>
      <c r="G36" s="45" t="s">
        <v>119</v>
      </c>
      <c r="H36" s="46">
        <v>10</v>
      </c>
      <c r="I36" s="46" t="s">
        <v>86</v>
      </c>
    </row>
    <row r="37" spans="1:9">
      <c r="A37" s="36">
        <v>35</v>
      </c>
      <c r="B37" s="37" t="s">
        <v>70</v>
      </c>
      <c r="C37" s="38" t="s">
        <v>120</v>
      </c>
      <c r="D37" s="44">
        <v>20</v>
      </c>
      <c r="E37" s="44" t="s">
        <v>74</v>
      </c>
      <c r="F37" s="40"/>
      <c r="G37" s="48" t="s">
        <v>121</v>
      </c>
      <c r="H37" s="49">
        <v>200</v>
      </c>
      <c r="I37" s="52" t="s">
        <v>122</v>
      </c>
    </row>
    <row r="38" spans="1:9">
      <c r="A38" s="36">
        <v>36</v>
      </c>
      <c r="B38" s="37" t="s">
        <v>70</v>
      </c>
      <c r="C38" s="43" t="s">
        <v>115</v>
      </c>
      <c r="D38" s="50">
        <v>20</v>
      </c>
      <c r="E38" s="44" t="s">
        <v>74</v>
      </c>
      <c r="F38" s="40"/>
      <c r="G38" s="48" t="s">
        <v>123</v>
      </c>
      <c r="H38" s="49">
        <v>75</v>
      </c>
      <c r="I38" s="52" t="s">
        <v>72</v>
      </c>
    </row>
    <row r="39" spans="1:9">
      <c r="A39" s="36">
        <v>37</v>
      </c>
      <c r="B39" s="37" t="s">
        <v>70</v>
      </c>
      <c r="C39" s="38" t="s">
        <v>124</v>
      </c>
      <c r="D39" s="44">
        <v>20</v>
      </c>
      <c r="E39" s="44" t="s">
        <v>74</v>
      </c>
      <c r="F39" s="40"/>
      <c r="G39" s="48" t="s">
        <v>125</v>
      </c>
      <c r="H39" s="49">
        <v>200</v>
      </c>
      <c r="I39" s="52" t="s">
        <v>122</v>
      </c>
    </row>
    <row r="40" spans="1:9">
      <c r="A40" s="36">
        <v>38</v>
      </c>
      <c r="B40" s="37" t="s">
        <v>70</v>
      </c>
      <c r="C40" s="38" t="s">
        <v>126</v>
      </c>
      <c r="D40" s="44">
        <v>20</v>
      </c>
      <c r="E40" s="44" t="s">
        <v>74</v>
      </c>
      <c r="F40" s="40"/>
      <c r="G40" s="48" t="s">
        <v>127</v>
      </c>
      <c r="H40" s="49">
        <v>75</v>
      </c>
      <c r="I40" s="52" t="s">
        <v>72</v>
      </c>
    </row>
    <row r="41" s="26" customFormat="1" spans="1:9">
      <c r="A41" s="36">
        <v>39</v>
      </c>
      <c r="B41" s="37" t="s">
        <v>70</v>
      </c>
      <c r="C41" s="38" t="s">
        <v>128</v>
      </c>
      <c r="D41" s="44">
        <v>15</v>
      </c>
      <c r="E41" s="37" t="s">
        <v>86</v>
      </c>
      <c r="F41" s="40"/>
      <c r="G41" s="45" t="s">
        <v>129</v>
      </c>
      <c r="H41" s="46">
        <v>20</v>
      </c>
      <c r="I41" s="46" t="s">
        <v>74</v>
      </c>
    </row>
    <row r="42" s="26" customFormat="1" spans="1:9">
      <c r="A42" s="36">
        <v>40</v>
      </c>
      <c r="B42" s="37" t="s">
        <v>70</v>
      </c>
      <c r="C42" s="38" t="s">
        <v>130</v>
      </c>
      <c r="D42" s="39">
        <v>30</v>
      </c>
      <c r="E42" s="37" t="s">
        <v>74</v>
      </c>
      <c r="F42" s="40"/>
      <c r="G42" s="45"/>
      <c r="H42" s="46"/>
      <c r="I42" s="46"/>
    </row>
    <row r="43" s="26" customFormat="1" spans="1:9">
      <c r="A43" s="36">
        <v>41</v>
      </c>
      <c r="B43" s="37" t="s">
        <v>70</v>
      </c>
      <c r="C43" s="38" t="s">
        <v>131</v>
      </c>
      <c r="D43" s="37">
        <v>20</v>
      </c>
      <c r="E43" s="37" t="s">
        <v>74</v>
      </c>
      <c r="F43" s="40"/>
      <c r="G43" s="45"/>
      <c r="H43" s="46"/>
      <c r="I43" s="46"/>
    </row>
    <row r="44" s="26" customFormat="1" spans="1:9">
      <c r="A44" s="36">
        <v>42</v>
      </c>
      <c r="B44" s="37" t="s">
        <v>70</v>
      </c>
      <c r="C44" s="38" t="s">
        <v>132</v>
      </c>
      <c r="D44" s="44">
        <v>5</v>
      </c>
      <c r="E44" s="37" t="s">
        <v>86</v>
      </c>
      <c r="F44" s="40"/>
      <c r="G44" s="45" t="s">
        <v>133</v>
      </c>
      <c r="H44" s="46">
        <v>10</v>
      </c>
      <c r="I44" s="46" t="s">
        <v>86</v>
      </c>
    </row>
    <row r="45" s="26" customFormat="1" spans="1:9">
      <c r="A45" s="36">
        <v>43</v>
      </c>
      <c r="B45" s="37" t="s">
        <v>70</v>
      </c>
      <c r="C45" s="38" t="s">
        <v>134</v>
      </c>
      <c r="D45" s="37">
        <v>20</v>
      </c>
      <c r="E45" s="37" t="s">
        <v>74</v>
      </c>
      <c r="F45" s="40"/>
      <c r="G45" s="45" t="s">
        <v>135</v>
      </c>
      <c r="H45" s="46">
        <v>10</v>
      </c>
      <c r="I45" s="46" t="s">
        <v>86</v>
      </c>
    </row>
    <row r="46" s="26" customFormat="1" spans="1:9">
      <c r="A46" s="36">
        <v>44</v>
      </c>
      <c r="B46" s="37" t="s">
        <v>70</v>
      </c>
      <c r="C46" s="38" t="s">
        <v>136</v>
      </c>
      <c r="D46" s="37">
        <v>20</v>
      </c>
      <c r="E46" s="37" t="s">
        <v>74</v>
      </c>
      <c r="F46" s="40"/>
      <c r="G46" s="45" t="s">
        <v>137</v>
      </c>
      <c r="H46" s="46">
        <v>10</v>
      </c>
      <c r="I46" s="46" t="s">
        <v>86</v>
      </c>
    </row>
    <row r="47" s="26" customFormat="1" spans="1:9">
      <c r="A47" s="36">
        <v>45</v>
      </c>
      <c r="B47" s="37" t="s">
        <v>138</v>
      </c>
      <c r="C47" s="38" t="s">
        <v>139</v>
      </c>
      <c r="D47" s="44">
        <v>5</v>
      </c>
      <c r="E47" s="37" t="s">
        <v>86</v>
      </c>
      <c r="F47" s="40"/>
      <c r="G47" s="45" t="s">
        <v>140</v>
      </c>
      <c r="H47" s="46">
        <v>10</v>
      </c>
      <c r="I47" s="46" t="s">
        <v>86</v>
      </c>
    </row>
    <row r="48" s="26" customFormat="1" spans="1:9">
      <c r="A48" s="36">
        <v>46</v>
      </c>
      <c r="B48" s="37" t="s">
        <v>138</v>
      </c>
      <c r="C48" s="38" t="s">
        <v>141</v>
      </c>
      <c r="D48" s="44">
        <v>5</v>
      </c>
      <c r="E48" s="37" t="s">
        <v>86</v>
      </c>
      <c r="F48" s="40"/>
      <c r="G48" s="45" t="s">
        <v>142</v>
      </c>
      <c r="H48" s="46">
        <v>10</v>
      </c>
      <c r="I48" s="46" t="s">
        <v>86</v>
      </c>
    </row>
    <row r="49" s="26" customFormat="1" spans="1:9">
      <c r="A49" s="36">
        <v>47</v>
      </c>
      <c r="B49" s="37" t="s">
        <v>138</v>
      </c>
      <c r="C49" s="38" t="s">
        <v>143</v>
      </c>
      <c r="D49" s="44">
        <v>7</v>
      </c>
      <c r="E49" s="37" t="s">
        <v>86</v>
      </c>
      <c r="F49" s="40"/>
      <c r="G49" s="45"/>
      <c r="H49" s="46"/>
      <c r="I49" s="46"/>
    </row>
    <row r="50" s="26" customFormat="1" spans="1:9">
      <c r="A50" s="36">
        <v>48</v>
      </c>
      <c r="B50" s="37" t="s">
        <v>138</v>
      </c>
      <c r="C50" s="38" t="s">
        <v>144</v>
      </c>
      <c r="D50" s="44">
        <v>5</v>
      </c>
      <c r="E50" s="37" t="s">
        <v>86</v>
      </c>
      <c r="F50" s="40"/>
      <c r="G50" s="45"/>
      <c r="H50" s="46"/>
      <c r="I50" s="46"/>
    </row>
    <row r="51" s="26" customFormat="1" spans="1:9">
      <c r="A51" s="36">
        <v>49</v>
      </c>
      <c r="B51" s="37" t="s">
        <v>138</v>
      </c>
      <c r="C51" s="38" t="s">
        <v>145</v>
      </c>
      <c r="D51" s="37">
        <v>12</v>
      </c>
      <c r="E51" s="37" t="s">
        <v>86</v>
      </c>
      <c r="F51" s="40"/>
      <c r="G51" s="45"/>
      <c r="H51" s="46"/>
      <c r="I51" s="46"/>
    </row>
    <row r="52" s="26" customFormat="1" spans="1:9">
      <c r="A52" s="36">
        <v>50</v>
      </c>
      <c r="B52" s="37" t="s">
        <v>138</v>
      </c>
      <c r="C52" s="38" t="s">
        <v>146</v>
      </c>
      <c r="D52" s="44">
        <v>5</v>
      </c>
      <c r="E52" s="37" t="s">
        <v>86</v>
      </c>
      <c r="F52" s="40"/>
      <c r="G52" s="45"/>
      <c r="H52" s="46"/>
      <c r="I52" s="46"/>
    </row>
    <row r="53" spans="1:9">
      <c r="A53" s="36">
        <v>51</v>
      </c>
      <c r="B53" s="37" t="s">
        <v>138</v>
      </c>
      <c r="C53" s="38" t="s">
        <v>147</v>
      </c>
      <c r="D53" s="37">
        <v>30</v>
      </c>
      <c r="E53" s="37" t="s">
        <v>74</v>
      </c>
      <c r="F53" s="40"/>
      <c r="G53" s="45" t="s">
        <v>148</v>
      </c>
      <c r="H53" s="46">
        <v>10</v>
      </c>
      <c r="I53" s="46" t="s">
        <v>86</v>
      </c>
    </row>
    <row r="54" spans="1:9">
      <c r="A54" s="36">
        <v>52</v>
      </c>
      <c r="B54" s="37" t="s">
        <v>138</v>
      </c>
      <c r="C54" s="38" t="s">
        <v>149</v>
      </c>
      <c r="D54" s="44">
        <v>5</v>
      </c>
      <c r="E54" s="37" t="s">
        <v>86</v>
      </c>
      <c r="F54" s="40"/>
      <c r="G54" s="45" t="s">
        <v>150</v>
      </c>
      <c r="H54" s="46">
        <v>15</v>
      </c>
      <c r="I54" s="46" t="s">
        <v>86</v>
      </c>
    </row>
    <row r="55" spans="1:9">
      <c r="A55" s="36">
        <v>53</v>
      </c>
      <c r="B55" s="37" t="s">
        <v>138</v>
      </c>
      <c r="C55" s="38" t="s">
        <v>151</v>
      </c>
      <c r="D55" s="37">
        <v>12</v>
      </c>
      <c r="E55" s="37" t="s">
        <v>86</v>
      </c>
      <c r="F55" s="40"/>
      <c r="G55" s="45" t="s">
        <v>152</v>
      </c>
      <c r="H55" s="46">
        <v>10</v>
      </c>
      <c r="I55" s="46" t="s">
        <v>86</v>
      </c>
    </row>
    <row r="56" spans="1:9">
      <c r="A56" s="36">
        <v>54</v>
      </c>
      <c r="B56" s="37" t="s">
        <v>138</v>
      </c>
      <c r="C56" s="38" t="s">
        <v>153</v>
      </c>
      <c r="D56" s="37">
        <v>10</v>
      </c>
      <c r="E56" s="37" t="s">
        <v>86</v>
      </c>
      <c r="F56" s="40"/>
      <c r="G56" s="45" t="s">
        <v>154</v>
      </c>
      <c r="H56" s="46">
        <v>10</v>
      </c>
      <c r="I56" s="46" t="s">
        <v>86</v>
      </c>
    </row>
    <row r="57" spans="1:9">
      <c r="A57" s="36">
        <v>55</v>
      </c>
      <c r="B57" s="37" t="s">
        <v>138</v>
      </c>
      <c r="C57" s="38" t="s">
        <v>155</v>
      </c>
      <c r="D57" s="44">
        <v>12</v>
      </c>
      <c r="E57" s="37" t="s">
        <v>86</v>
      </c>
      <c r="F57" s="40"/>
      <c r="G57" s="45" t="s">
        <v>156</v>
      </c>
      <c r="H57" s="46">
        <v>10</v>
      </c>
      <c r="I57" s="46" t="s">
        <v>86</v>
      </c>
    </row>
    <row r="58" spans="1:9">
      <c r="A58" s="36">
        <v>56</v>
      </c>
      <c r="B58" s="37" t="s">
        <v>157</v>
      </c>
      <c r="C58" s="43" t="s">
        <v>90</v>
      </c>
      <c r="D58" s="44">
        <v>35</v>
      </c>
      <c r="E58" s="44" t="s">
        <v>74</v>
      </c>
      <c r="F58" s="40"/>
      <c r="G58" s="45" t="s">
        <v>158</v>
      </c>
      <c r="H58" s="46">
        <v>10</v>
      </c>
      <c r="I58" s="46" t="s">
        <v>86</v>
      </c>
    </row>
    <row r="59" s="26" customFormat="1" spans="1:9">
      <c r="A59" s="36">
        <v>57</v>
      </c>
      <c r="B59" s="37" t="s">
        <v>157</v>
      </c>
      <c r="C59" s="43" t="s">
        <v>75</v>
      </c>
      <c r="D59" s="44">
        <v>20</v>
      </c>
      <c r="E59" s="44" t="s">
        <v>74</v>
      </c>
      <c r="F59" s="40"/>
      <c r="G59" s="45" t="s">
        <v>159</v>
      </c>
      <c r="H59" s="46">
        <v>10</v>
      </c>
      <c r="I59" s="46" t="s">
        <v>86</v>
      </c>
    </row>
    <row r="60" spans="1:9">
      <c r="A60" s="36">
        <v>58</v>
      </c>
      <c r="B60" s="37" t="s">
        <v>157</v>
      </c>
      <c r="C60" s="43" t="s">
        <v>93</v>
      </c>
      <c r="D60" s="44">
        <v>20</v>
      </c>
      <c r="E60" s="44" t="s">
        <v>74</v>
      </c>
      <c r="F60" s="40"/>
      <c r="G60" s="45" t="s">
        <v>160</v>
      </c>
      <c r="H60" s="46">
        <v>15</v>
      </c>
      <c r="I60" s="46" t="s">
        <v>86</v>
      </c>
    </row>
    <row r="61" s="26" customFormat="1" spans="1:9">
      <c r="A61" s="36">
        <v>59</v>
      </c>
      <c r="B61" s="37" t="s">
        <v>157</v>
      </c>
      <c r="C61" s="43" t="s">
        <v>117</v>
      </c>
      <c r="D61" s="44">
        <v>20</v>
      </c>
      <c r="E61" s="44" t="s">
        <v>74</v>
      </c>
      <c r="F61" s="40"/>
      <c r="G61" s="45" t="s">
        <v>161</v>
      </c>
      <c r="H61" s="46">
        <v>10</v>
      </c>
      <c r="I61" s="46" t="s">
        <v>86</v>
      </c>
    </row>
    <row r="62" s="26" customFormat="1" spans="1:9">
      <c r="A62" s="36">
        <v>60</v>
      </c>
      <c r="B62" s="37" t="s">
        <v>157</v>
      </c>
      <c r="C62" s="43" t="s">
        <v>129</v>
      </c>
      <c r="D62" s="44">
        <v>20</v>
      </c>
      <c r="E62" s="44" t="s">
        <v>74</v>
      </c>
      <c r="F62" s="40"/>
      <c r="G62" s="45" t="s">
        <v>162</v>
      </c>
      <c r="H62" s="46">
        <v>10</v>
      </c>
      <c r="I62" s="46" t="s">
        <v>86</v>
      </c>
    </row>
    <row r="63" s="26" customFormat="1" spans="1:9">
      <c r="A63" s="36">
        <v>61</v>
      </c>
      <c r="B63" s="37" t="s">
        <v>157</v>
      </c>
      <c r="C63" s="43" t="s">
        <v>119</v>
      </c>
      <c r="D63" s="44">
        <v>8</v>
      </c>
      <c r="E63" s="37" t="s">
        <v>86</v>
      </c>
      <c r="F63" s="40"/>
      <c r="G63" s="45"/>
      <c r="H63" s="46"/>
      <c r="I63" s="46"/>
    </row>
    <row r="64" s="26" customFormat="1" spans="1:9">
      <c r="A64" s="36">
        <v>62</v>
      </c>
      <c r="B64" s="37" t="s">
        <v>157</v>
      </c>
      <c r="C64" s="43" t="s">
        <v>163</v>
      </c>
      <c r="D64" s="44">
        <v>8</v>
      </c>
      <c r="E64" s="37" t="s">
        <v>86</v>
      </c>
      <c r="F64" s="40"/>
      <c r="G64" s="48" t="s">
        <v>164</v>
      </c>
      <c r="H64" s="49">
        <v>200</v>
      </c>
      <c r="I64" s="52" t="s">
        <v>122</v>
      </c>
    </row>
    <row r="65" s="26" customFormat="1" spans="1:9">
      <c r="A65" s="36">
        <v>63</v>
      </c>
      <c r="B65" s="37" t="s">
        <v>157</v>
      </c>
      <c r="C65" s="38" t="s">
        <v>165</v>
      </c>
      <c r="D65" s="39">
        <v>75</v>
      </c>
      <c r="E65" s="37" t="s">
        <v>72</v>
      </c>
      <c r="F65" s="40"/>
      <c r="G65" s="48" t="s">
        <v>166</v>
      </c>
      <c r="H65" s="49">
        <v>200</v>
      </c>
      <c r="I65" s="52" t="s">
        <v>122</v>
      </c>
    </row>
    <row r="66" spans="1:9">
      <c r="A66" s="36">
        <v>64</v>
      </c>
      <c r="B66" s="37" t="s">
        <v>157</v>
      </c>
      <c r="C66" s="38" t="s">
        <v>167</v>
      </c>
      <c r="D66" s="44">
        <v>25</v>
      </c>
      <c r="E66" s="44" t="s">
        <v>74</v>
      </c>
      <c r="F66" s="40"/>
      <c r="G66" s="48" t="s">
        <v>168</v>
      </c>
      <c r="H66" s="49">
        <v>200</v>
      </c>
      <c r="I66" s="52" t="s">
        <v>122</v>
      </c>
    </row>
    <row r="67" spans="1:9">
      <c r="A67" s="36">
        <v>65</v>
      </c>
      <c r="B67" s="37" t="s">
        <v>157</v>
      </c>
      <c r="C67" s="43" t="s">
        <v>140</v>
      </c>
      <c r="D67" s="44">
        <v>8</v>
      </c>
      <c r="E67" s="37" t="s">
        <v>86</v>
      </c>
      <c r="F67" s="40"/>
      <c r="G67" s="48" t="s">
        <v>169</v>
      </c>
      <c r="H67" s="49">
        <v>200</v>
      </c>
      <c r="I67" s="52" t="s">
        <v>122</v>
      </c>
    </row>
    <row r="68" spans="1:9">
      <c r="A68" s="36">
        <v>66</v>
      </c>
      <c r="B68" s="37" t="s">
        <v>157</v>
      </c>
      <c r="C68" s="43" t="s">
        <v>161</v>
      </c>
      <c r="D68" s="44">
        <v>8</v>
      </c>
      <c r="E68" s="37" t="s">
        <v>86</v>
      </c>
      <c r="F68" s="40"/>
      <c r="G68" s="48" t="s">
        <v>170</v>
      </c>
      <c r="H68" s="49">
        <v>75</v>
      </c>
      <c r="I68" s="52" t="s">
        <v>72</v>
      </c>
    </row>
    <row r="69" spans="1:9">
      <c r="A69" s="36">
        <v>67</v>
      </c>
      <c r="B69" s="37" t="s">
        <v>157</v>
      </c>
      <c r="C69" s="43" t="s">
        <v>135</v>
      </c>
      <c r="D69" s="44">
        <v>8</v>
      </c>
      <c r="E69" s="37" t="s">
        <v>86</v>
      </c>
      <c r="F69" s="40"/>
      <c r="G69" s="48" t="s">
        <v>171</v>
      </c>
      <c r="H69" s="49">
        <v>75</v>
      </c>
      <c r="I69" s="52" t="s">
        <v>72</v>
      </c>
    </row>
    <row r="70" spans="1:9">
      <c r="A70" s="36">
        <v>68</v>
      </c>
      <c r="B70" s="37" t="s">
        <v>157</v>
      </c>
      <c r="C70" s="43" t="s">
        <v>137</v>
      </c>
      <c r="D70" s="44">
        <v>8</v>
      </c>
      <c r="E70" s="37" t="s">
        <v>86</v>
      </c>
      <c r="F70" s="40"/>
      <c r="G70" s="48" t="s">
        <v>172</v>
      </c>
      <c r="H70" s="49">
        <v>75</v>
      </c>
      <c r="I70" s="52" t="s">
        <v>72</v>
      </c>
    </row>
    <row r="71" spans="1:9">
      <c r="A71" s="36">
        <v>69</v>
      </c>
      <c r="B71" s="37" t="s">
        <v>157</v>
      </c>
      <c r="C71" s="43" t="s">
        <v>162</v>
      </c>
      <c r="D71" s="44">
        <v>8</v>
      </c>
      <c r="E71" s="37" t="s">
        <v>86</v>
      </c>
      <c r="F71" s="40"/>
      <c r="G71" s="48" t="s">
        <v>173</v>
      </c>
      <c r="H71" s="49">
        <v>200</v>
      </c>
      <c r="I71" s="52" t="s">
        <v>122</v>
      </c>
    </row>
    <row r="72" spans="1:9">
      <c r="A72" s="36">
        <v>70</v>
      </c>
      <c r="B72" s="37" t="s">
        <v>157</v>
      </c>
      <c r="C72" s="43" t="s">
        <v>158</v>
      </c>
      <c r="D72" s="44">
        <v>7</v>
      </c>
      <c r="E72" s="37" t="s">
        <v>86</v>
      </c>
      <c r="F72" s="40"/>
      <c r="G72" s="48" t="s">
        <v>174</v>
      </c>
      <c r="H72" s="49">
        <v>75</v>
      </c>
      <c r="I72" s="52" t="s">
        <v>72</v>
      </c>
    </row>
    <row r="73" spans="1:9">
      <c r="A73" s="36">
        <v>71</v>
      </c>
      <c r="B73" s="37" t="s">
        <v>157</v>
      </c>
      <c r="C73" s="43" t="s">
        <v>133</v>
      </c>
      <c r="D73" s="44">
        <v>8</v>
      </c>
      <c r="E73" s="37" t="s">
        <v>86</v>
      </c>
      <c r="F73" s="40"/>
      <c r="G73" s="48" t="s">
        <v>175</v>
      </c>
      <c r="H73" s="49">
        <v>75</v>
      </c>
      <c r="I73" s="52" t="s">
        <v>72</v>
      </c>
    </row>
    <row r="74" spans="1:9">
      <c r="A74" s="36">
        <v>72</v>
      </c>
      <c r="B74" s="37" t="s">
        <v>157</v>
      </c>
      <c r="C74" s="38" t="s">
        <v>176</v>
      </c>
      <c r="D74" s="44">
        <v>8</v>
      </c>
      <c r="E74" s="37" t="s">
        <v>86</v>
      </c>
      <c r="F74" s="40"/>
      <c r="G74" s="48" t="s">
        <v>177</v>
      </c>
      <c r="H74" s="49">
        <v>75</v>
      </c>
      <c r="I74" s="52" t="s">
        <v>72</v>
      </c>
    </row>
    <row r="75" spans="1:9">
      <c r="A75" s="36">
        <v>73</v>
      </c>
      <c r="B75" s="37" t="s">
        <v>157</v>
      </c>
      <c r="C75" s="38" t="s">
        <v>178</v>
      </c>
      <c r="D75" s="44">
        <v>8</v>
      </c>
      <c r="E75" s="37" t="s">
        <v>86</v>
      </c>
      <c r="F75" s="40"/>
      <c r="G75" s="48" t="s">
        <v>179</v>
      </c>
      <c r="H75" s="49">
        <v>75</v>
      </c>
      <c r="I75" s="52" t="s">
        <v>72</v>
      </c>
    </row>
    <row r="76" spans="1:9">
      <c r="A76" s="36">
        <v>74</v>
      </c>
      <c r="B76" s="37" t="s">
        <v>157</v>
      </c>
      <c r="C76" s="38" t="s">
        <v>180</v>
      </c>
      <c r="D76" s="44">
        <v>8</v>
      </c>
      <c r="E76" s="37" t="s">
        <v>86</v>
      </c>
      <c r="F76" s="40"/>
      <c r="G76" s="48" t="s">
        <v>181</v>
      </c>
      <c r="H76" s="49">
        <v>75</v>
      </c>
      <c r="I76" s="52" t="s">
        <v>72</v>
      </c>
    </row>
    <row r="77" spans="1:9">
      <c r="A77" s="36">
        <v>75</v>
      </c>
      <c r="B77" s="37" t="s">
        <v>157</v>
      </c>
      <c r="C77" s="47" t="s">
        <v>182</v>
      </c>
      <c r="D77" s="44">
        <v>5</v>
      </c>
      <c r="E77" s="37" t="s">
        <v>86</v>
      </c>
      <c r="F77" s="40"/>
      <c r="G77" s="48" t="s">
        <v>183</v>
      </c>
      <c r="H77" s="49">
        <v>200</v>
      </c>
      <c r="I77" s="52" t="s">
        <v>122</v>
      </c>
    </row>
    <row r="78" spans="1:9">
      <c r="A78" s="36">
        <v>76</v>
      </c>
      <c r="B78" s="37" t="s">
        <v>157</v>
      </c>
      <c r="C78" s="38" t="s">
        <v>184</v>
      </c>
      <c r="D78" s="44">
        <v>20</v>
      </c>
      <c r="E78" s="44" t="s">
        <v>74</v>
      </c>
      <c r="F78" s="40"/>
      <c r="G78" s="48" t="s">
        <v>185</v>
      </c>
      <c r="H78" s="49">
        <v>200</v>
      </c>
      <c r="I78" s="52" t="s">
        <v>122</v>
      </c>
    </row>
    <row r="79" spans="1:9">
      <c r="A79" s="36">
        <v>77</v>
      </c>
      <c r="B79" s="37" t="s">
        <v>157</v>
      </c>
      <c r="C79" s="38" t="s">
        <v>186</v>
      </c>
      <c r="D79" s="44">
        <v>20</v>
      </c>
      <c r="E79" s="44" t="s">
        <v>74</v>
      </c>
      <c r="F79" s="40"/>
      <c r="G79" s="48" t="s">
        <v>187</v>
      </c>
      <c r="H79" s="49">
        <v>200</v>
      </c>
      <c r="I79" s="52" t="s">
        <v>122</v>
      </c>
    </row>
    <row r="80" spans="1:9">
      <c r="A80" s="36">
        <v>78</v>
      </c>
      <c r="B80" s="37" t="s">
        <v>157</v>
      </c>
      <c r="C80" s="38" t="s">
        <v>188</v>
      </c>
      <c r="D80" s="37">
        <v>30</v>
      </c>
      <c r="E80" s="37" t="s">
        <v>74</v>
      </c>
      <c r="F80" s="40"/>
      <c r="G80" s="48" t="s">
        <v>189</v>
      </c>
      <c r="H80" s="49">
        <v>75</v>
      </c>
      <c r="I80" s="52" t="s">
        <v>72</v>
      </c>
    </row>
    <row r="81" spans="1:9">
      <c r="A81" s="36">
        <v>79</v>
      </c>
      <c r="B81" s="37" t="s">
        <v>157</v>
      </c>
      <c r="C81" s="38" t="s">
        <v>190</v>
      </c>
      <c r="D81" s="44">
        <v>50</v>
      </c>
      <c r="E81" s="37" t="s">
        <v>74</v>
      </c>
      <c r="F81" s="40"/>
      <c r="G81" s="48" t="s">
        <v>191</v>
      </c>
      <c r="H81" s="49">
        <v>75</v>
      </c>
      <c r="I81" s="52" t="s">
        <v>72</v>
      </c>
    </row>
    <row r="82" spans="1:9">
      <c r="A82" s="36">
        <v>80</v>
      </c>
      <c r="B82" s="37" t="s">
        <v>157</v>
      </c>
      <c r="C82" s="38" t="s">
        <v>192</v>
      </c>
      <c r="D82" s="37">
        <v>30</v>
      </c>
      <c r="E82" s="37" t="s">
        <v>74</v>
      </c>
      <c r="F82" s="40"/>
      <c r="G82" s="48" t="s">
        <v>193</v>
      </c>
      <c r="H82" s="49">
        <v>75</v>
      </c>
      <c r="I82" s="52" t="s">
        <v>72</v>
      </c>
    </row>
    <row r="83" spans="1:9">
      <c r="A83" s="36">
        <v>81</v>
      </c>
      <c r="B83" s="37" t="s">
        <v>157</v>
      </c>
      <c r="C83" s="38" t="s">
        <v>194</v>
      </c>
      <c r="D83" s="37">
        <v>30</v>
      </c>
      <c r="E83" s="37" t="s">
        <v>74</v>
      </c>
      <c r="F83" s="40"/>
      <c r="G83" s="48" t="s">
        <v>195</v>
      </c>
      <c r="H83" s="49">
        <v>200</v>
      </c>
      <c r="I83" s="52" t="s">
        <v>122</v>
      </c>
    </row>
    <row r="84" spans="1:9">
      <c r="A84" s="36">
        <v>82</v>
      </c>
      <c r="B84" s="39" t="s">
        <v>157</v>
      </c>
      <c r="C84" s="47" t="s">
        <v>196</v>
      </c>
      <c r="D84" s="39">
        <v>10</v>
      </c>
      <c r="E84" s="37" t="s">
        <v>86</v>
      </c>
      <c r="F84" s="40"/>
      <c r="G84" s="48" t="s">
        <v>71</v>
      </c>
      <c r="H84" s="49">
        <v>75</v>
      </c>
      <c r="I84" s="52" t="s">
        <v>72</v>
      </c>
    </row>
    <row r="85" spans="1:9">
      <c r="A85" s="36">
        <v>83</v>
      </c>
      <c r="B85" s="37" t="s">
        <v>157</v>
      </c>
      <c r="C85" s="38" t="s">
        <v>197</v>
      </c>
      <c r="D85" s="37">
        <v>25</v>
      </c>
      <c r="E85" s="37" t="s">
        <v>74</v>
      </c>
      <c r="F85" s="40"/>
      <c r="G85" s="48" t="s">
        <v>198</v>
      </c>
      <c r="H85" s="49">
        <v>75</v>
      </c>
      <c r="I85" s="52" t="s">
        <v>72</v>
      </c>
    </row>
    <row r="86" spans="1:9">
      <c r="A86" s="36">
        <v>84</v>
      </c>
      <c r="B86" s="39" t="s">
        <v>157</v>
      </c>
      <c r="C86" s="47" t="s">
        <v>199</v>
      </c>
      <c r="D86" s="39">
        <v>10</v>
      </c>
      <c r="E86" s="37" t="s">
        <v>86</v>
      </c>
      <c r="F86" s="40"/>
      <c r="G86" s="48" t="s">
        <v>200</v>
      </c>
      <c r="H86" s="49">
        <v>75</v>
      </c>
      <c r="I86" s="52" t="s">
        <v>72</v>
      </c>
    </row>
    <row r="87" spans="1:9">
      <c r="A87" s="36">
        <v>85</v>
      </c>
      <c r="B87" s="37" t="s">
        <v>157</v>
      </c>
      <c r="C87" s="38" t="s">
        <v>201</v>
      </c>
      <c r="D87" s="44">
        <v>3</v>
      </c>
      <c r="E87" s="37" t="s">
        <v>86</v>
      </c>
      <c r="F87" s="40"/>
      <c r="G87" s="48" t="s">
        <v>202</v>
      </c>
      <c r="H87" s="49">
        <v>75</v>
      </c>
      <c r="I87" s="52" t="s">
        <v>72</v>
      </c>
    </row>
    <row r="88" spans="1:9">
      <c r="A88" s="36">
        <v>86</v>
      </c>
      <c r="B88" s="37" t="s">
        <v>157</v>
      </c>
      <c r="C88" s="38" t="s">
        <v>203</v>
      </c>
      <c r="D88" s="44">
        <v>5</v>
      </c>
      <c r="E88" s="37" t="s">
        <v>86</v>
      </c>
      <c r="F88" s="40"/>
      <c r="G88" s="48" t="s">
        <v>165</v>
      </c>
      <c r="H88" s="49">
        <v>75</v>
      </c>
      <c r="I88" s="52" t="s">
        <v>72</v>
      </c>
    </row>
    <row r="89" spans="1:9">
      <c r="A89" s="36">
        <v>87</v>
      </c>
      <c r="B89" s="37" t="s">
        <v>157</v>
      </c>
      <c r="C89" s="38" t="s">
        <v>204</v>
      </c>
      <c r="D89" s="37">
        <v>50</v>
      </c>
      <c r="E89" s="37" t="s">
        <v>74</v>
      </c>
      <c r="F89" s="40"/>
      <c r="G89" s="48" t="s">
        <v>205</v>
      </c>
      <c r="H89" s="49">
        <v>75</v>
      </c>
      <c r="I89" s="52" t="s">
        <v>72</v>
      </c>
    </row>
    <row r="90" spans="1:6">
      <c r="A90" s="36">
        <v>88</v>
      </c>
      <c r="B90" s="37" t="s">
        <v>157</v>
      </c>
      <c r="C90" s="38" t="s">
        <v>206</v>
      </c>
      <c r="D90" s="44">
        <v>20</v>
      </c>
      <c r="E90" s="44" t="s">
        <v>74</v>
      </c>
      <c r="F90" s="53"/>
    </row>
    <row r="91" spans="1:6">
      <c r="A91" s="36">
        <v>89</v>
      </c>
      <c r="B91" s="37" t="s">
        <v>157</v>
      </c>
      <c r="C91" s="47" t="s">
        <v>207</v>
      </c>
      <c r="D91" s="39">
        <v>25</v>
      </c>
      <c r="E91" s="44" t="s">
        <v>74</v>
      </c>
      <c r="F91" s="53"/>
    </row>
    <row r="92" spans="1:6">
      <c r="A92" s="36">
        <v>90</v>
      </c>
      <c r="B92" s="37" t="s">
        <v>157</v>
      </c>
      <c r="C92" s="47" t="s">
        <v>208</v>
      </c>
      <c r="D92" s="39">
        <v>25</v>
      </c>
      <c r="E92" s="44" t="s">
        <v>74</v>
      </c>
      <c r="F92" s="53"/>
    </row>
    <row r="93" spans="1:6">
      <c r="A93" s="36">
        <v>91</v>
      </c>
      <c r="B93" s="39" t="s">
        <v>157</v>
      </c>
      <c r="C93" s="38" t="s">
        <v>209</v>
      </c>
      <c r="D93" s="39">
        <v>25</v>
      </c>
      <c r="E93" s="39" t="s">
        <v>74</v>
      </c>
      <c r="F93" s="53"/>
    </row>
    <row r="94" spans="1:6">
      <c r="A94" s="36">
        <v>92</v>
      </c>
      <c r="B94" s="37" t="s">
        <v>157</v>
      </c>
      <c r="C94" s="38" t="s">
        <v>210</v>
      </c>
      <c r="D94" s="37">
        <v>20</v>
      </c>
      <c r="E94" s="37" t="s">
        <v>74</v>
      </c>
      <c r="F94" s="53"/>
    </row>
    <row r="95" spans="1:6">
      <c r="A95" s="36">
        <v>93</v>
      </c>
      <c r="B95" s="37" t="s">
        <v>157</v>
      </c>
      <c r="C95" s="38" t="s">
        <v>211</v>
      </c>
      <c r="D95" s="44">
        <v>20</v>
      </c>
      <c r="E95" s="44" t="s">
        <v>74</v>
      </c>
      <c r="F95" s="53"/>
    </row>
    <row r="96" spans="1:6">
      <c r="A96" s="36">
        <v>94</v>
      </c>
      <c r="B96" s="37" t="s">
        <v>157</v>
      </c>
      <c r="C96" s="38" t="s">
        <v>212</v>
      </c>
      <c r="D96" s="44">
        <v>5</v>
      </c>
      <c r="E96" s="37" t="s">
        <v>86</v>
      </c>
      <c r="F96" s="53"/>
    </row>
    <row r="97" spans="1:6">
      <c r="A97" s="36">
        <v>95</v>
      </c>
      <c r="B97" s="37" t="s">
        <v>157</v>
      </c>
      <c r="C97" s="38" t="s">
        <v>213</v>
      </c>
      <c r="D97" s="44">
        <v>5</v>
      </c>
      <c r="E97" s="37" t="s">
        <v>86</v>
      </c>
      <c r="F97" s="53"/>
    </row>
    <row r="98" spans="1:6">
      <c r="A98" s="36">
        <v>96</v>
      </c>
      <c r="B98" s="37" t="s">
        <v>157</v>
      </c>
      <c r="C98" s="38" t="s">
        <v>214</v>
      </c>
      <c r="D98" s="44">
        <v>3</v>
      </c>
      <c r="E98" s="37" t="s">
        <v>86</v>
      </c>
      <c r="F98" s="53"/>
    </row>
    <row r="99" spans="1:6">
      <c r="A99" s="36">
        <v>97</v>
      </c>
      <c r="B99" s="37" t="s">
        <v>157</v>
      </c>
      <c r="C99" s="38" t="s">
        <v>215</v>
      </c>
      <c r="D99" s="37">
        <v>25</v>
      </c>
      <c r="E99" s="37" t="s">
        <v>74</v>
      </c>
      <c r="F99" s="53"/>
    </row>
    <row r="100" spans="1:6">
      <c r="A100" s="36">
        <v>98</v>
      </c>
      <c r="B100" s="37" t="s">
        <v>157</v>
      </c>
      <c r="C100" s="38" t="s">
        <v>216</v>
      </c>
      <c r="D100" s="44">
        <v>5</v>
      </c>
      <c r="E100" s="37" t="s">
        <v>86</v>
      </c>
      <c r="F100" s="53"/>
    </row>
    <row r="101" spans="1:6">
      <c r="A101" s="36">
        <v>99</v>
      </c>
      <c r="B101" s="37" t="s">
        <v>157</v>
      </c>
      <c r="C101" s="38" t="s">
        <v>217</v>
      </c>
      <c r="D101" s="44">
        <v>25</v>
      </c>
      <c r="E101" s="37" t="s">
        <v>74</v>
      </c>
      <c r="F101" s="53"/>
    </row>
    <row r="102" spans="1:6">
      <c r="A102" s="36">
        <v>100</v>
      </c>
      <c r="B102" s="37" t="s">
        <v>157</v>
      </c>
      <c r="C102" s="38" t="s">
        <v>218</v>
      </c>
      <c r="D102" s="37">
        <v>25</v>
      </c>
      <c r="E102" s="37" t="s">
        <v>74</v>
      </c>
      <c r="F102" s="53"/>
    </row>
    <row r="103" ht="24" spans="1:6">
      <c r="A103" s="36">
        <v>101</v>
      </c>
      <c r="B103" s="39" t="s">
        <v>157</v>
      </c>
      <c r="C103" s="38" t="s">
        <v>219</v>
      </c>
      <c r="D103" s="44">
        <v>5</v>
      </c>
      <c r="E103" s="37" t="s">
        <v>86</v>
      </c>
      <c r="F103" s="53"/>
    </row>
    <row r="104" spans="1:6">
      <c r="A104" s="36">
        <v>102</v>
      </c>
      <c r="B104" s="39" t="s">
        <v>157</v>
      </c>
      <c r="C104" s="47" t="s">
        <v>220</v>
      </c>
      <c r="D104" s="44">
        <v>5</v>
      </c>
      <c r="E104" s="37" t="s">
        <v>86</v>
      </c>
      <c r="F104" s="53"/>
    </row>
    <row r="105" spans="1:6">
      <c r="A105" s="36">
        <v>103</v>
      </c>
      <c r="B105" s="37" t="s">
        <v>157</v>
      </c>
      <c r="C105" s="38" t="s">
        <v>221</v>
      </c>
      <c r="D105" s="44">
        <v>5</v>
      </c>
      <c r="E105" s="37" t="s">
        <v>86</v>
      </c>
      <c r="F105" s="53"/>
    </row>
    <row r="106" spans="1:6">
      <c r="A106" s="36">
        <v>104</v>
      </c>
      <c r="B106" s="37" t="s">
        <v>157</v>
      </c>
      <c r="C106" s="38" t="s">
        <v>222</v>
      </c>
      <c r="D106" s="44">
        <v>3</v>
      </c>
      <c r="E106" s="37" t="s">
        <v>86</v>
      </c>
      <c r="F106" s="53"/>
    </row>
    <row r="107" spans="1:6">
      <c r="A107" s="36">
        <v>105</v>
      </c>
      <c r="B107" s="37" t="s">
        <v>157</v>
      </c>
      <c r="C107" s="38" t="s">
        <v>223</v>
      </c>
      <c r="D107" s="37">
        <v>25</v>
      </c>
      <c r="E107" s="37" t="s">
        <v>74</v>
      </c>
      <c r="F107" s="53"/>
    </row>
    <row r="108" spans="1:6">
      <c r="A108" s="36">
        <v>106</v>
      </c>
      <c r="B108" s="37" t="s">
        <v>157</v>
      </c>
      <c r="C108" s="38" t="s">
        <v>224</v>
      </c>
      <c r="D108" s="37">
        <v>25</v>
      </c>
      <c r="E108" s="44" t="s">
        <v>74</v>
      </c>
      <c r="F108" s="53"/>
    </row>
    <row r="109" spans="1:6">
      <c r="A109" s="36">
        <v>107</v>
      </c>
      <c r="B109" s="37" t="s">
        <v>157</v>
      </c>
      <c r="C109" s="38" t="s">
        <v>225</v>
      </c>
      <c r="D109" s="44">
        <v>7</v>
      </c>
      <c r="E109" s="37" t="s">
        <v>86</v>
      </c>
      <c r="F109" s="53"/>
    </row>
    <row r="110" spans="1:6">
      <c r="A110" s="36">
        <v>108</v>
      </c>
      <c r="B110" s="39" t="s">
        <v>70</v>
      </c>
      <c r="C110" s="38" t="s">
        <v>226</v>
      </c>
      <c r="D110" s="39">
        <v>30</v>
      </c>
      <c r="E110" s="39" t="s">
        <v>74</v>
      </c>
      <c r="F110" s="53"/>
    </row>
    <row r="111" spans="1:6">
      <c r="A111" s="36">
        <v>109</v>
      </c>
      <c r="B111" s="39" t="s">
        <v>70</v>
      </c>
      <c r="C111" s="38" t="s">
        <v>227</v>
      </c>
      <c r="D111" s="39">
        <v>200</v>
      </c>
      <c r="E111" s="39" t="s">
        <v>122</v>
      </c>
      <c r="F111" s="53"/>
    </row>
    <row r="112" ht="24" spans="1:6">
      <c r="A112" s="36">
        <v>110</v>
      </c>
      <c r="B112" s="39" t="s">
        <v>70</v>
      </c>
      <c r="C112" s="38" t="s">
        <v>168</v>
      </c>
      <c r="D112" s="39">
        <v>200</v>
      </c>
      <c r="E112" s="37" t="s">
        <v>122</v>
      </c>
      <c r="F112" s="53"/>
    </row>
    <row r="113" spans="1:6">
      <c r="A113" s="36">
        <v>111</v>
      </c>
      <c r="B113" s="39" t="s">
        <v>70</v>
      </c>
      <c r="C113" s="38" t="s">
        <v>228</v>
      </c>
      <c r="D113" s="39">
        <v>25</v>
      </c>
      <c r="E113" s="39" t="s">
        <v>74</v>
      </c>
      <c r="F113" s="53"/>
    </row>
    <row r="114" spans="1:6">
      <c r="A114" s="36">
        <v>112</v>
      </c>
      <c r="B114" s="39" t="s">
        <v>70</v>
      </c>
      <c r="C114" s="38" t="s">
        <v>229</v>
      </c>
      <c r="D114" s="39">
        <v>70</v>
      </c>
      <c r="E114" s="37" t="s">
        <v>72</v>
      </c>
      <c r="F114" s="53"/>
    </row>
    <row r="115" spans="1:6">
      <c r="A115" s="36">
        <v>113</v>
      </c>
      <c r="B115" s="39" t="s">
        <v>70</v>
      </c>
      <c r="C115" s="38" t="s">
        <v>169</v>
      </c>
      <c r="D115" s="39">
        <v>250</v>
      </c>
      <c r="E115" s="37" t="s">
        <v>122</v>
      </c>
      <c r="F115" s="53"/>
    </row>
    <row r="116" spans="1:6">
      <c r="A116" s="36">
        <v>114</v>
      </c>
      <c r="B116" s="39" t="s">
        <v>70</v>
      </c>
      <c r="C116" s="38" t="s">
        <v>230</v>
      </c>
      <c r="D116" s="39">
        <v>75</v>
      </c>
      <c r="E116" s="37" t="s">
        <v>72</v>
      </c>
      <c r="F116" s="53"/>
    </row>
    <row r="117" spans="1:6">
      <c r="A117" s="36">
        <v>115</v>
      </c>
      <c r="B117" s="39" t="s">
        <v>70</v>
      </c>
      <c r="C117" s="38" t="s">
        <v>171</v>
      </c>
      <c r="D117" s="39">
        <v>75</v>
      </c>
      <c r="E117" s="37" t="s">
        <v>72</v>
      </c>
      <c r="F117" s="53"/>
    </row>
    <row r="118" spans="1:6">
      <c r="A118" s="36">
        <v>116</v>
      </c>
      <c r="B118" s="39" t="s">
        <v>70</v>
      </c>
      <c r="C118" s="38" t="s">
        <v>172</v>
      </c>
      <c r="D118" s="39">
        <v>70</v>
      </c>
      <c r="E118" s="37" t="s">
        <v>72</v>
      </c>
      <c r="F118" s="53"/>
    </row>
    <row r="119" spans="1:6">
      <c r="A119" s="36">
        <v>117</v>
      </c>
      <c r="B119" s="39" t="s">
        <v>70</v>
      </c>
      <c r="C119" s="38" t="s">
        <v>121</v>
      </c>
      <c r="D119" s="39">
        <v>200</v>
      </c>
      <c r="E119" s="37" t="s">
        <v>122</v>
      </c>
      <c r="F119" s="53"/>
    </row>
    <row r="120" spans="1:6">
      <c r="A120" s="36">
        <v>118</v>
      </c>
      <c r="B120" s="39" t="s">
        <v>70</v>
      </c>
      <c r="C120" s="38" t="s">
        <v>123</v>
      </c>
      <c r="D120" s="39">
        <v>75</v>
      </c>
      <c r="E120" s="37" t="s">
        <v>72</v>
      </c>
      <c r="F120" s="53"/>
    </row>
    <row r="121" spans="1:6">
      <c r="A121" s="36">
        <v>119</v>
      </c>
      <c r="B121" s="39" t="s">
        <v>70</v>
      </c>
      <c r="C121" s="38" t="s">
        <v>173</v>
      </c>
      <c r="D121" s="39">
        <v>200</v>
      </c>
      <c r="E121" s="37" t="s">
        <v>122</v>
      </c>
      <c r="F121" s="53"/>
    </row>
    <row r="122" ht="24" spans="1:6">
      <c r="A122" s="36">
        <v>120</v>
      </c>
      <c r="B122" s="39" t="s">
        <v>70</v>
      </c>
      <c r="C122" s="38" t="s">
        <v>174</v>
      </c>
      <c r="D122" s="39">
        <v>130</v>
      </c>
      <c r="E122" s="37" t="s">
        <v>72</v>
      </c>
      <c r="F122" s="53"/>
    </row>
    <row r="123" spans="1:6">
      <c r="A123" s="36">
        <v>121</v>
      </c>
      <c r="B123" s="39" t="s">
        <v>70</v>
      </c>
      <c r="C123" s="38" t="s">
        <v>231</v>
      </c>
      <c r="D123" s="39">
        <v>200</v>
      </c>
      <c r="E123" s="37" t="s">
        <v>122</v>
      </c>
      <c r="F123" s="53"/>
    </row>
    <row r="124" spans="1:6">
      <c r="A124" s="36">
        <v>122</v>
      </c>
      <c r="B124" s="39" t="s">
        <v>70</v>
      </c>
      <c r="C124" s="38" t="s">
        <v>232</v>
      </c>
      <c r="D124" s="39">
        <v>75</v>
      </c>
      <c r="E124" s="37" t="s">
        <v>72</v>
      </c>
      <c r="F124" s="53"/>
    </row>
    <row r="125" spans="1:6">
      <c r="A125" s="36">
        <v>123</v>
      </c>
      <c r="B125" s="39" t="s">
        <v>70</v>
      </c>
      <c r="C125" s="38" t="s">
        <v>175</v>
      </c>
      <c r="D125" s="39">
        <v>75</v>
      </c>
      <c r="E125" s="37" t="s">
        <v>72</v>
      </c>
      <c r="F125" s="53"/>
    </row>
    <row r="126" spans="1:6">
      <c r="A126" s="36">
        <v>124</v>
      </c>
      <c r="B126" s="39" t="s">
        <v>70</v>
      </c>
      <c r="C126" s="38" t="s">
        <v>177</v>
      </c>
      <c r="D126" s="39">
        <v>75</v>
      </c>
      <c r="E126" s="37" t="s">
        <v>72</v>
      </c>
      <c r="F126" s="53"/>
    </row>
    <row r="127" spans="1:6">
      <c r="A127" s="36">
        <v>125</v>
      </c>
      <c r="B127" s="39" t="s">
        <v>70</v>
      </c>
      <c r="C127" s="38" t="s">
        <v>179</v>
      </c>
      <c r="D127" s="39">
        <v>70</v>
      </c>
      <c r="E127" s="37" t="s">
        <v>72</v>
      </c>
      <c r="F127" s="53"/>
    </row>
    <row r="128" spans="1:6">
      <c r="A128" s="36">
        <v>126</v>
      </c>
      <c r="B128" s="39" t="s">
        <v>70</v>
      </c>
      <c r="C128" s="38" t="s">
        <v>181</v>
      </c>
      <c r="D128" s="39">
        <v>75</v>
      </c>
      <c r="E128" s="37" t="s">
        <v>72</v>
      </c>
      <c r="F128" s="53"/>
    </row>
    <row r="129" ht="24" spans="1:6">
      <c r="A129" s="36">
        <v>127</v>
      </c>
      <c r="B129" s="39" t="s">
        <v>70</v>
      </c>
      <c r="C129" s="38" t="s">
        <v>164</v>
      </c>
      <c r="D129" s="39">
        <v>200</v>
      </c>
      <c r="E129" s="37" t="s">
        <v>122</v>
      </c>
      <c r="F129" s="53"/>
    </row>
    <row r="130" spans="1:6">
      <c r="A130" s="36">
        <v>128</v>
      </c>
      <c r="B130" s="39" t="s">
        <v>70</v>
      </c>
      <c r="C130" s="38" t="s">
        <v>166</v>
      </c>
      <c r="D130" s="39">
        <v>200</v>
      </c>
      <c r="E130" s="37" t="s">
        <v>122</v>
      </c>
      <c r="F130" s="53"/>
    </row>
    <row r="131" ht="24" spans="1:6">
      <c r="A131" s="36">
        <v>129</v>
      </c>
      <c r="B131" s="39" t="s">
        <v>70</v>
      </c>
      <c r="C131" s="38" t="s">
        <v>183</v>
      </c>
      <c r="D131" s="39">
        <v>200</v>
      </c>
      <c r="E131" s="37" t="s">
        <v>122</v>
      </c>
      <c r="F131" s="53"/>
    </row>
    <row r="132" ht="24" spans="1:6">
      <c r="A132" s="36">
        <v>130</v>
      </c>
      <c r="B132" s="39" t="s">
        <v>70</v>
      </c>
      <c r="C132" s="38" t="s">
        <v>185</v>
      </c>
      <c r="D132" s="39">
        <v>200</v>
      </c>
      <c r="E132" s="37" t="s">
        <v>122</v>
      </c>
      <c r="F132" s="53"/>
    </row>
    <row r="133" ht="24" spans="1:6">
      <c r="A133" s="36">
        <v>131</v>
      </c>
      <c r="B133" s="39" t="s">
        <v>70</v>
      </c>
      <c r="C133" s="38" t="s">
        <v>187</v>
      </c>
      <c r="D133" s="39">
        <v>200</v>
      </c>
      <c r="E133" s="37" t="s">
        <v>122</v>
      </c>
      <c r="F133" s="53"/>
    </row>
    <row r="134" spans="1:6">
      <c r="A134" s="36">
        <v>132</v>
      </c>
      <c r="B134" s="39" t="s">
        <v>70</v>
      </c>
      <c r="C134" s="38" t="s">
        <v>233</v>
      </c>
      <c r="D134" s="39">
        <v>70</v>
      </c>
      <c r="E134" s="37" t="s">
        <v>72</v>
      </c>
      <c r="F134" s="53"/>
    </row>
    <row r="135" spans="1:6">
      <c r="A135" s="36">
        <v>133</v>
      </c>
      <c r="B135" s="39" t="s">
        <v>70</v>
      </c>
      <c r="C135" s="38" t="s">
        <v>191</v>
      </c>
      <c r="D135" s="39">
        <v>70</v>
      </c>
      <c r="E135" s="37" t="s">
        <v>72</v>
      </c>
      <c r="F135" s="53"/>
    </row>
    <row r="136" spans="1:6">
      <c r="A136" s="36">
        <v>134</v>
      </c>
      <c r="B136" s="39" t="s">
        <v>70</v>
      </c>
      <c r="C136" s="38" t="s">
        <v>193</v>
      </c>
      <c r="D136" s="39">
        <v>70</v>
      </c>
      <c r="E136" s="37" t="s">
        <v>72</v>
      </c>
      <c r="F136" s="53"/>
    </row>
    <row r="137" spans="1:6">
      <c r="A137" s="36">
        <v>135</v>
      </c>
      <c r="B137" s="39" t="s">
        <v>70</v>
      </c>
      <c r="C137" s="38" t="s">
        <v>195</v>
      </c>
      <c r="D137" s="39">
        <v>200</v>
      </c>
      <c r="E137" s="37" t="s">
        <v>122</v>
      </c>
      <c r="F137" s="53"/>
    </row>
    <row r="138" spans="1:6">
      <c r="A138" s="36">
        <v>136</v>
      </c>
      <c r="B138" s="39" t="s">
        <v>70</v>
      </c>
      <c r="C138" s="38" t="s">
        <v>198</v>
      </c>
      <c r="D138" s="39">
        <v>130</v>
      </c>
      <c r="E138" s="37" t="s">
        <v>72</v>
      </c>
      <c r="F138" s="53"/>
    </row>
    <row r="139" spans="1:6">
      <c r="A139" s="36">
        <v>137</v>
      </c>
      <c r="B139" s="39" t="s">
        <v>70</v>
      </c>
      <c r="C139" s="38" t="s">
        <v>202</v>
      </c>
      <c r="D139" s="39">
        <v>70</v>
      </c>
      <c r="E139" s="37" t="s">
        <v>72</v>
      </c>
      <c r="F139" s="53"/>
    </row>
    <row r="140" ht="24" spans="1:6">
      <c r="A140" s="36">
        <v>138</v>
      </c>
      <c r="B140" s="39" t="s">
        <v>70</v>
      </c>
      <c r="C140" s="38" t="s">
        <v>205</v>
      </c>
      <c r="D140" s="39">
        <v>75</v>
      </c>
      <c r="E140" s="37" t="s">
        <v>72</v>
      </c>
      <c r="F140" s="53"/>
    </row>
    <row r="141" ht="24" spans="1:6">
      <c r="A141" s="36">
        <v>139</v>
      </c>
      <c r="B141" s="39" t="s">
        <v>70</v>
      </c>
      <c r="C141" s="38" t="s">
        <v>200</v>
      </c>
      <c r="D141" s="39">
        <v>75</v>
      </c>
      <c r="E141" s="37" t="s">
        <v>72</v>
      </c>
      <c r="F141" s="53"/>
    </row>
    <row r="142" spans="1:6">
      <c r="A142" s="36">
        <v>140</v>
      </c>
      <c r="B142" s="39" t="s">
        <v>70</v>
      </c>
      <c r="C142" s="43" t="s">
        <v>160</v>
      </c>
      <c r="D142" s="44">
        <v>15</v>
      </c>
      <c r="E142" s="37" t="s">
        <v>86</v>
      </c>
      <c r="F142" s="53"/>
    </row>
    <row r="143" spans="1:6">
      <c r="A143" s="36">
        <v>141</v>
      </c>
      <c r="B143" s="39" t="s">
        <v>70</v>
      </c>
      <c r="C143" s="38" t="s">
        <v>234</v>
      </c>
      <c r="D143" s="44">
        <v>20</v>
      </c>
      <c r="E143" s="44" t="s">
        <v>74</v>
      </c>
      <c r="F143" s="53"/>
    </row>
    <row r="144" spans="1:6">
      <c r="A144" s="36">
        <v>142</v>
      </c>
      <c r="B144" s="39" t="s">
        <v>70</v>
      </c>
      <c r="C144" s="38" t="s">
        <v>235</v>
      </c>
      <c r="D144" s="44">
        <v>5</v>
      </c>
      <c r="E144" s="37" t="s">
        <v>86</v>
      </c>
      <c r="F144" s="53"/>
    </row>
    <row r="145" spans="1:6">
      <c r="A145" s="36">
        <v>143</v>
      </c>
      <c r="B145" s="39" t="s">
        <v>70</v>
      </c>
      <c r="C145" s="38" t="s">
        <v>236</v>
      </c>
      <c r="D145" s="39">
        <v>10</v>
      </c>
      <c r="E145" s="37" t="s">
        <v>86</v>
      </c>
      <c r="F145" s="53"/>
    </row>
    <row r="146" spans="1:6">
      <c r="A146" s="36">
        <v>144</v>
      </c>
      <c r="B146" s="39" t="s">
        <v>70</v>
      </c>
      <c r="C146" s="38" t="s">
        <v>237</v>
      </c>
      <c r="D146" s="37">
        <v>25</v>
      </c>
      <c r="E146" s="37" t="s">
        <v>74</v>
      </c>
      <c r="F146" s="53"/>
    </row>
    <row r="147" spans="1:6">
      <c r="A147" s="36">
        <v>145</v>
      </c>
      <c r="B147" s="39" t="s">
        <v>70</v>
      </c>
      <c r="C147" s="38" t="s">
        <v>238</v>
      </c>
      <c r="D147" s="37">
        <v>25</v>
      </c>
      <c r="E147" s="37" t="s">
        <v>74</v>
      </c>
      <c r="F147" s="53"/>
    </row>
    <row r="148" spans="1:6">
      <c r="A148" s="36">
        <v>146</v>
      </c>
      <c r="B148" s="39" t="s">
        <v>70</v>
      </c>
      <c r="C148" s="38" t="s">
        <v>239</v>
      </c>
      <c r="D148" s="39">
        <v>10</v>
      </c>
      <c r="E148" s="37" t="s">
        <v>86</v>
      </c>
      <c r="F148" s="53"/>
    </row>
    <row r="149" spans="1:6">
      <c r="A149" s="36">
        <v>147</v>
      </c>
      <c r="B149" s="39" t="s">
        <v>70</v>
      </c>
      <c r="C149" s="38" t="s">
        <v>240</v>
      </c>
      <c r="D149" s="37">
        <v>75</v>
      </c>
      <c r="E149" s="37" t="s">
        <v>72</v>
      </c>
      <c r="F149" s="53"/>
    </row>
    <row r="150" spans="1:6">
      <c r="A150" s="36">
        <v>148</v>
      </c>
      <c r="B150" s="39" t="s">
        <v>70</v>
      </c>
      <c r="C150" s="38" t="s">
        <v>241</v>
      </c>
      <c r="D150" s="37">
        <v>30</v>
      </c>
      <c r="E150" s="37" t="s">
        <v>74</v>
      </c>
      <c r="F150" s="53"/>
    </row>
    <row r="151" spans="1:6">
      <c r="A151" s="36">
        <v>149</v>
      </c>
      <c r="B151" s="39" t="s">
        <v>70</v>
      </c>
      <c r="C151" s="38" t="s">
        <v>242</v>
      </c>
      <c r="D151" s="37">
        <v>25</v>
      </c>
      <c r="E151" s="37" t="s">
        <v>74</v>
      </c>
      <c r="F151" s="53"/>
    </row>
    <row r="152" spans="1:6">
      <c r="A152" s="36">
        <v>150</v>
      </c>
      <c r="B152" s="39" t="s">
        <v>70</v>
      </c>
      <c r="C152" s="38" t="s">
        <v>243</v>
      </c>
      <c r="D152" s="44">
        <v>25</v>
      </c>
      <c r="E152" s="37" t="s">
        <v>74</v>
      </c>
      <c r="F152" s="53"/>
    </row>
    <row r="153" spans="1:6">
      <c r="A153" s="36">
        <v>151</v>
      </c>
      <c r="B153" s="39" t="s">
        <v>70</v>
      </c>
      <c r="C153" s="38" t="s">
        <v>244</v>
      </c>
      <c r="D153" s="37">
        <v>25</v>
      </c>
      <c r="E153" s="37" t="s">
        <v>74</v>
      </c>
      <c r="F153" s="53"/>
    </row>
    <row r="154" spans="1:6">
      <c r="A154" s="36">
        <v>152</v>
      </c>
      <c r="B154" s="39" t="s">
        <v>70</v>
      </c>
      <c r="C154" s="38" t="s">
        <v>245</v>
      </c>
      <c r="D154" s="39">
        <v>10</v>
      </c>
      <c r="E154" s="37" t="s">
        <v>86</v>
      </c>
      <c r="F154" s="53"/>
    </row>
    <row r="155" spans="1:6">
      <c r="A155" s="36">
        <v>153</v>
      </c>
      <c r="B155" s="39" t="s">
        <v>70</v>
      </c>
      <c r="C155" s="38" t="s">
        <v>246</v>
      </c>
      <c r="D155" s="37">
        <v>20</v>
      </c>
      <c r="E155" s="37" t="s">
        <v>74</v>
      </c>
      <c r="F155" s="53"/>
    </row>
    <row r="156" spans="1:6">
      <c r="A156" s="36">
        <v>154</v>
      </c>
      <c r="B156" s="39" t="s">
        <v>70</v>
      </c>
      <c r="C156" s="38" t="s">
        <v>247</v>
      </c>
      <c r="D156" s="37">
        <v>25</v>
      </c>
      <c r="E156" s="37" t="s">
        <v>74</v>
      </c>
      <c r="F156" s="53"/>
    </row>
    <row r="157" spans="1:6">
      <c r="A157" s="36">
        <v>155</v>
      </c>
      <c r="B157" s="39" t="s">
        <v>70</v>
      </c>
      <c r="C157" s="38" t="s">
        <v>248</v>
      </c>
      <c r="D157" s="44">
        <v>25</v>
      </c>
      <c r="E157" s="37" t="s">
        <v>74</v>
      </c>
      <c r="F157" s="53"/>
    </row>
    <row r="158" spans="1:6">
      <c r="A158" s="36">
        <v>156</v>
      </c>
      <c r="B158" s="39" t="s">
        <v>70</v>
      </c>
      <c r="C158" s="38" t="s">
        <v>249</v>
      </c>
      <c r="D158" s="37">
        <v>25</v>
      </c>
      <c r="E158" s="37" t="s">
        <v>74</v>
      </c>
      <c r="F158" s="53"/>
    </row>
    <row r="159" spans="1:6">
      <c r="A159" s="36">
        <v>157</v>
      </c>
      <c r="B159" s="39" t="s">
        <v>70</v>
      </c>
      <c r="C159" s="38" t="s">
        <v>250</v>
      </c>
      <c r="D159" s="37">
        <v>25</v>
      </c>
      <c r="E159" s="37" t="s">
        <v>74</v>
      </c>
      <c r="F159" s="53"/>
    </row>
    <row r="160" spans="1:6">
      <c r="A160" s="36">
        <v>158</v>
      </c>
      <c r="B160" s="39" t="s">
        <v>70</v>
      </c>
      <c r="C160" s="38" t="s">
        <v>251</v>
      </c>
      <c r="D160" s="37">
        <v>20</v>
      </c>
      <c r="E160" s="44" t="s">
        <v>74</v>
      </c>
      <c r="F160" s="53"/>
    </row>
    <row r="161" spans="1:6">
      <c r="A161" s="36">
        <v>159</v>
      </c>
      <c r="B161" s="39" t="s">
        <v>70</v>
      </c>
      <c r="C161" s="38" t="s">
        <v>252</v>
      </c>
      <c r="D161" s="37">
        <v>25</v>
      </c>
      <c r="E161" s="37" t="s">
        <v>74</v>
      </c>
      <c r="F161" s="53"/>
    </row>
    <row r="162" spans="1:6">
      <c r="A162" s="36">
        <v>160</v>
      </c>
      <c r="B162" s="39" t="s">
        <v>70</v>
      </c>
      <c r="C162" s="38" t="s">
        <v>253</v>
      </c>
      <c r="D162" s="37">
        <v>12</v>
      </c>
      <c r="E162" s="37" t="s">
        <v>86</v>
      </c>
      <c r="F162" s="53"/>
    </row>
    <row r="163" spans="1:6">
      <c r="A163" s="36">
        <v>161</v>
      </c>
      <c r="B163" s="39" t="s">
        <v>70</v>
      </c>
      <c r="C163" s="38" t="s">
        <v>254</v>
      </c>
      <c r="D163" s="44">
        <v>5</v>
      </c>
      <c r="E163" s="37" t="s">
        <v>86</v>
      </c>
      <c r="F163" s="53"/>
    </row>
    <row r="164" spans="1:6">
      <c r="A164" s="36">
        <v>162</v>
      </c>
      <c r="B164" s="39" t="s">
        <v>70</v>
      </c>
      <c r="C164" s="38" t="s">
        <v>255</v>
      </c>
      <c r="D164" s="44">
        <v>5</v>
      </c>
      <c r="E164" s="37" t="s">
        <v>86</v>
      </c>
      <c r="F164" s="53"/>
    </row>
    <row r="165" spans="1:6">
      <c r="A165" s="36">
        <v>163</v>
      </c>
      <c r="B165" s="39" t="s">
        <v>70</v>
      </c>
      <c r="C165" s="38" t="s">
        <v>256</v>
      </c>
      <c r="D165" s="37">
        <v>20</v>
      </c>
      <c r="E165" s="37" t="s">
        <v>74</v>
      </c>
      <c r="F165" s="53"/>
    </row>
    <row r="166" ht="24" spans="1:6">
      <c r="A166" s="36">
        <v>164</v>
      </c>
      <c r="B166" s="39" t="s">
        <v>70</v>
      </c>
      <c r="C166" s="38" t="s">
        <v>257</v>
      </c>
      <c r="D166" s="37">
        <v>130</v>
      </c>
      <c r="E166" s="37" t="s">
        <v>72</v>
      </c>
      <c r="F166" s="53"/>
    </row>
    <row r="167" spans="1:6">
      <c r="A167" s="36">
        <v>165</v>
      </c>
      <c r="B167" s="37" t="s">
        <v>258</v>
      </c>
      <c r="C167" s="43" t="s">
        <v>150</v>
      </c>
      <c r="D167" s="44">
        <v>15</v>
      </c>
      <c r="E167" s="37" t="s">
        <v>86</v>
      </c>
      <c r="F167" s="53"/>
    </row>
    <row r="168" spans="1:6">
      <c r="A168" s="36">
        <v>166</v>
      </c>
      <c r="B168" s="37" t="s">
        <v>258</v>
      </c>
      <c r="C168" s="43" t="s">
        <v>148</v>
      </c>
      <c r="D168" s="44">
        <v>8</v>
      </c>
      <c r="E168" s="37" t="s">
        <v>86</v>
      </c>
      <c r="F168" s="53"/>
    </row>
    <row r="169" spans="1:6">
      <c r="A169" s="36">
        <v>167</v>
      </c>
      <c r="B169" s="37" t="s">
        <v>258</v>
      </c>
      <c r="C169" s="43" t="s">
        <v>152</v>
      </c>
      <c r="D169" s="44">
        <v>8</v>
      </c>
      <c r="E169" s="37" t="s">
        <v>86</v>
      </c>
      <c r="F169" s="53"/>
    </row>
    <row r="170" spans="1:6">
      <c r="A170" s="36">
        <v>168</v>
      </c>
      <c r="B170" s="37" t="s">
        <v>258</v>
      </c>
      <c r="C170" s="43" t="s">
        <v>159</v>
      </c>
      <c r="D170" s="44">
        <v>8</v>
      </c>
      <c r="E170" s="37" t="s">
        <v>86</v>
      </c>
      <c r="F170" s="53"/>
    </row>
    <row r="171" spans="1:6">
      <c r="A171" s="36">
        <v>169</v>
      </c>
      <c r="B171" s="37" t="s">
        <v>258</v>
      </c>
      <c r="C171" s="38" t="s">
        <v>259</v>
      </c>
      <c r="D171" s="44">
        <v>8</v>
      </c>
      <c r="E171" s="37" t="s">
        <v>86</v>
      </c>
      <c r="F171" s="53"/>
    </row>
    <row r="172" ht="24" spans="1:6">
      <c r="A172" s="36">
        <v>170</v>
      </c>
      <c r="B172" s="37" t="s">
        <v>258</v>
      </c>
      <c r="C172" s="38" t="s">
        <v>260</v>
      </c>
      <c r="D172" s="44">
        <v>5</v>
      </c>
      <c r="E172" s="37" t="s">
        <v>86</v>
      </c>
      <c r="F172" s="53"/>
    </row>
    <row r="173" spans="1:6">
      <c r="A173" s="36">
        <v>171</v>
      </c>
      <c r="B173" s="37" t="s">
        <v>258</v>
      </c>
      <c r="C173" s="38" t="s">
        <v>261</v>
      </c>
      <c r="D173" s="44">
        <v>5</v>
      </c>
      <c r="E173" s="37" t="s">
        <v>86</v>
      </c>
      <c r="F173" s="53"/>
    </row>
    <row r="174" spans="1:6">
      <c r="A174" s="36">
        <v>172</v>
      </c>
      <c r="B174" s="37" t="s">
        <v>258</v>
      </c>
      <c r="C174" s="38" t="s">
        <v>262</v>
      </c>
      <c r="D174" s="44">
        <v>5</v>
      </c>
      <c r="E174" s="37" t="s">
        <v>86</v>
      </c>
      <c r="F174" s="53"/>
    </row>
    <row r="175" spans="1:6">
      <c r="A175" s="36">
        <v>173</v>
      </c>
      <c r="B175" s="37" t="s">
        <v>258</v>
      </c>
      <c r="C175" s="47" t="s">
        <v>263</v>
      </c>
      <c r="D175" s="39">
        <v>25</v>
      </c>
      <c r="E175" s="44" t="s">
        <v>74</v>
      </c>
      <c r="F175" s="53"/>
    </row>
    <row r="176" spans="1:6">
      <c r="A176" s="36">
        <v>174</v>
      </c>
      <c r="B176" s="37" t="s">
        <v>264</v>
      </c>
      <c r="C176" s="43" t="s">
        <v>103</v>
      </c>
      <c r="D176" s="44">
        <v>20</v>
      </c>
      <c r="E176" s="44" t="s">
        <v>74</v>
      </c>
      <c r="F176" s="53"/>
    </row>
    <row r="177" spans="1:6">
      <c r="A177" s="36">
        <v>175</v>
      </c>
      <c r="B177" s="37" t="s">
        <v>264</v>
      </c>
      <c r="C177" s="43" t="s">
        <v>110</v>
      </c>
      <c r="D177" s="44">
        <v>20</v>
      </c>
      <c r="E177" s="44" t="s">
        <v>74</v>
      </c>
      <c r="F177" s="53"/>
    </row>
    <row r="178" spans="1:6">
      <c r="A178" s="36">
        <v>176</v>
      </c>
      <c r="B178" s="37" t="s">
        <v>264</v>
      </c>
      <c r="C178" s="43" t="s">
        <v>265</v>
      </c>
      <c r="D178" s="44">
        <v>7</v>
      </c>
      <c r="E178" s="37" t="s">
        <v>86</v>
      </c>
      <c r="F178" s="53"/>
    </row>
    <row r="179" spans="1:6">
      <c r="A179" s="36">
        <v>177</v>
      </c>
      <c r="B179" s="37" t="s">
        <v>264</v>
      </c>
      <c r="C179" s="43" t="s">
        <v>266</v>
      </c>
      <c r="D179" s="44">
        <v>7</v>
      </c>
      <c r="E179" s="37" t="s">
        <v>86</v>
      </c>
      <c r="F179" s="53"/>
    </row>
    <row r="180" spans="1:6">
      <c r="A180" s="36">
        <v>178</v>
      </c>
      <c r="B180" s="37" t="s">
        <v>264</v>
      </c>
      <c r="C180" s="43" t="s">
        <v>142</v>
      </c>
      <c r="D180" s="44">
        <v>7</v>
      </c>
      <c r="E180" s="37" t="s">
        <v>86</v>
      </c>
      <c r="F180" s="53"/>
    </row>
    <row r="181" spans="1:6">
      <c r="A181" s="36">
        <v>179</v>
      </c>
      <c r="B181" s="37" t="s">
        <v>264</v>
      </c>
      <c r="C181" s="38" t="s">
        <v>267</v>
      </c>
      <c r="D181" s="44">
        <v>7</v>
      </c>
      <c r="E181" s="37" t="s">
        <v>86</v>
      </c>
      <c r="F181" s="53"/>
    </row>
    <row r="182" spans="1:6">
      <c r="A182" s="36">
        <v>180</v>
      </c>
      <c r="B182" s="37" t="s">
        <v>264</v>
      </c>
      <c r="C182" s="43" t="s">
        <v>268</v>
      </c>
      <c r="D182" s="44">
        <v>3</v>
      </c>
      <c r="E182" s="37" t="s">
        <v>86</v>
      </c>
      <c r="F182" s="53"/>
    </row>
    <row r="183" spans="1:6">
      <c r="A183" s="36">
        <v>181</v>
      </c>
      <c r="B183" s="37" t="s">
        <v>264</v>
      </c>
      <c r="C183" s="43" t="s">
        <v>269</v>
      </c>
      <c r="D183" s="44">
        <v>5</v>
      </c>
      <c r="E183" s="37" t="s">
        <v>86</v>
      </c>
      <c r="F183" s="53"/>
    </row>
    <row r="184" spans="1:6">
      <c r="A184" s="36">
        <v>182</v>
      </c>
      <c r="B184" s="37" t="s">
        <v>264</v>
      </c>
      <c r="C184" s="38" t="s">
        <v>270</v>
      </c>
      <c r="D184" s="37">
        <v>7</v>
      </c>
      <c r="E184" s="37" t="s">
        <v>86</v>
      </c>
      <c r="F184" s="53"/>
    </row>
    <row r="185" spans="1:6">
      <c r="A185" s="36">
        <v>183</v>
      </c>
      <c r="B185" s="37" t="s">
        <v>264</v>
      </c>
      <c r="C185" s="43" t="s">
        <v>271</v>
      </c>
      <c r="D185" s="39">
        <v>10</v>
      </c>
      <c r="E185" s="37" t="s">
        <v>86</v>
      </c>
      <c r="F185" s="53"/>
    </row>
    <row r="186" spans="1:6">
      <c r="A186" s="36">
        <v>184</v>
      </c>
      <c r="B186" s="37" t="s">
        <v>264</v>
      </c>
      <c r="C186" s="47" t="s">
        <v>272</v>
      </c>
      <c r="D186" s="39">
        <v>25</v>
      </c>
      <c r="E186" s="44" t="s">
        <v>74</v>
      </c>
      <c r="F186" s="53"/>
    </row>
    <row r="187" spans="1:6">
      <c r="A187" s="36">
        <v>185</v>
      </c>
      <c r="B187" s="37" t="s">
        <v>264</v>
      </c>
      <c r="C187" s="38" t="s">
        <v>273</v>
      </c>
      <c r="D187" s="37">
        <v>7</v>
      </c>
      <c r="E187" s="37" t="s">
        <v>86</v>
      </c>
      <c r="F187" s="53"/>
    </row>
    <row r="188" spans="1:6">
      <c r="A188" s="36">
        <v>186</v>
      </c>
      <c r="B188" s="37" t="s">
        <v>264</v>
      </c>
      <c r="C188" s="38" t="s">
        <v>274</v>
      </c>
      <c r="D188" s="44">
        <v>7</v>
      </c>
      <c r="E188" s="37" t="s">
        <v>86</v>
      </c>
      <c r="F188" s="53"/>
    </row>
    <row r="189" spans="1:6">
      <c r="A189" s="36">
        <v>187</v>
      </c>
      <c r="B189" s="37" t="s">
        <v>264</v>
      </c>
      <c r="C189" s="38" t="s">
        <v>275</v>
      </c>
      <c r="D189" s="37">
        <v>10</v>
      </c>
      <c r="E189" s="37" t="s">
        <v>86</v>
      </c>
      <c r="F189" s="53"/>
    </row>
    <row r="190" spans="1:6">
      <c r="A190" s="36">
        <v>188</v>
      </c>
      <c r="B190" s="37" t="s">
        <v>264</v>
      </c>
      <c r="C190" s="38" t="s">
        <v>276</v>
      </c>
      <c r="D190" s="37">
        <v>25</v>
      </c>
      <c r="E190" s="37" t="s">
        <v>74</v>
      </c>
      <c r="F190" s="53"/>
    </row>
    <row r="191" spans="1:6">
      <c r="A191" s="36">
        <v>189</v>
      </c>
      <c r="B191" s="37" t="s">
        <v>277</v>
      </c>
      <c r="C191" s="43" t="s">
        <v>105</v>
      </c>
      <c r="D191" s="44">
        <v>7</v>
      </c>
      <c r="E191" s="37" t="s">
        <v>86</v>
      </c>
      <c r="F191" s="53"/>
    </row>
    <row r="192" spans="1:6">
      <c r="A192" s="36">
        <v>190</v>
      </c>
      <c r="B192" s="37" t="s">
        <v>277</v>
      </c>
      <c r="C192" s="43" t="s">
        <v>107</v>
      </c>
      <c r="D192" s="54">
        <v>20</v>
      </c>
      <c r="E192" s="54" t="s">
        <v>74</v>
      </c>
      <c r="F192" s="53"/>
    </row>
    <row r="193" spans="1:6">
      <c r="A193" s="36">
        <v>191</v>
      </c>
      <c r="B193" s="37" t="s">
        <v>277</v>
      </c>
      <c r="C193" s="43" t="s">
        <v>154</v>
      </c>
      <c r="D193" s="44">
        <v>7</v>
      </c>
      <c r="E193" s="37" t="s">
        <v>86</v>
      </c>
      <c r="F193" s="53"/>
    </row>
    <row r="194" spans="1:6">
      <c r="A194" s="36">
        <v>192</v>
      </c>
      <c r="B194" s="37" t="s">
        <v>277</v>
      </c>
      <c r="C194" s="43" t="s">
        <v>156</v>
      </c>
      <c r="D194" s="44">
        <v>8</v>
      </c>
      <c r="E194" s="37" t="s">
        <v>86</v>
      </c>
      <c r="F194" s="53"/>
    </row>
    <row r="195" spans="1:6">
      <c r="A195" s="36">
        <v>193</v>
      </c>
      <c r="B195" s="37" t="s">
        <v>277</v>
      </c>
      <c r="C195" s="38" t="s">
        <v>278</v>
      </c>
      <c r="D195" s="44">
        <v>3</v>
      </c>
      <c r="E195" s="37" t="s">
        <v>86</v>
      </c>
      <c r="F195" s="53"/>
    </row>
    <row r="196" spans="1:6">
      <c r="A196" s="36">
        <v>194</v>
      </c>
      <c r="B196" s="37" t="s">
        <v>277</v>
      </c>
      <c r="C196" s="38" t="s">
        <v>279</v>
      </c>
      <c r="D196" s="44">
        <v>5</v>
      </c>
      <c r="E196" s="37" t="s">
        <v>86</v>
      </c>
      <c r="F196" s="53"/>
    </row>
    <row r="197" spans="1:6">
      <c r="A197" s="36">
        <v>195</v>
      </c>
      <c r="B197" s="37" t="s">
        <v>277</v>
      </c>
      <c r="C197" s="38" t="s">
        <v>280</v>
      </c>
      <c r="D197" s="44">
        <v>5</v>
      </c>
      <c r="E197" s="37" t="s">
        <v>86</v>
      </c>
      <c r="F197" s="53"/>
    </row>
    <row r="198" spans="1:6">
      <c r="A198" s="36">
        <v>196</v>
      </c>
      <c r="B198" s="37" t="s">
        <v>277</v>
      </c>
      <c r="C198" s="38" t="s">
        <v>281</v>
      </c>
      <c r="D198" s="44">
        <v>5</v>
      </c>
      <c r="E198" s="37" t="s">
        <v>86</v>
      </c>
      <c r="F198" s="53"/>
    </row>
    <row r="199" spans="1:6">
      <c r="A199" s="36">
        <v>197</v>
      </c>
      <c r="B199" s="37" t="s">
        <v>277</v>
      </c>
      <c r="C199" s="38" t="s">
        <v>282</v>
      </c>
      <c r="D199" s="44">
        <v>20</v>
      </c>
      <c r="E199" s="44" t="s">
        <v>74</v>
      </c>
      <c r="F199" s="53"/>
    </row>
  </sheetData>
  <autoFilter ref="A2:I199">
    <extLst/>
  </autoFilter>
  <conditionalFormatting sqref="C153">
    <cfRule type="duplicateValues" dxfId="0" priority="4"/>
  </conditionalFormatting>
  <conditionalFormatting sqref="C154">
    <cfRule type="duplicateValues" dxfId="0" priority="3"/>
  </conditionalFormatting>
  <conditionalFormatting sqref="C155">
    <cfRule type="duplicateValues" dxfId="0" priority="2"/>
  </conditionalFormatting>
  <conditionalFormatting sqref="C58:C76 C110:C142 C191:C194 C167:C171 C176:C181 C3:C32">
    <cfRule type="duplicateValues" dxfId="0" priority="1"/>
  </conditionalFormatting>
  <conditionalFormatting sqref="C33:C57 C143:C152 C195:C199 C182:C190 C172:C175 C156:C166 C77:C109">
    <cfRule type="duplicateValues" dxfId="0" priority="5"/>
  </conditionalFormatting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FF0000"/>
    <pageSetUpPr fitToPage="1"/>
  </sheetPr>
  <dimension ref="A1:T9"/>
  <sheetViews>
    <sheetView zoomScale="85" zoomScaleNormal="85" workbookViewId="0">
      <pane ySplit="3" topLeftCell="A4" activePane="bottomLeft" state="frozen"/>
      <selection/>
      <selection pane="bottomLeft" activeCell="H4" sqref="H4:H9"/>
    </sheetView>
  </sheetViews>
  <sheetFormatPr defaultColWidth="9" defaultRowHeight="14"/>
  <cols>
    <col min="1" max="16" width="10.6272727272727" customWidth="1"/>
    <col min="17" max="17" width="10.5818181818182" customWidth="1"/>
  </cols>
  <sheetData>
    <row r="1" ht="32" customHeight="1" spans="13:13">
      <c r="M1" s="23"/>
    </row>
    <row r="2" ht="24" customHeight="1" spans="1:20">
      <c r="A2" s="4" t="s">
        <v>283</v>
      </c>
      <c r="B2" s="4"/>
      <c r="C2" s="4" t="s">
        <v>284</v>
      </c>
      <c r="D2" s="4"/>
      <c r="E2" s="4" t="s">
        <v>285</v>
      </c>
      <c r="F2" s="4"/>
      <c r="G2" s="4" t="s">
        <v>286</v>
      </c>
      <c r="H2" s="4"/>
      <c r="I2" s="4" t="s">
        <v>287</v>
      </c>
      <c r="J2" s="4"/>
      <c r="K2" s="4" t="s">
        <v>288</v>
      </c>
      <c r="L2" s="4"/>
      <c r="M2" s="4" t="s">
        <v>289</v>
      </c>
      <c r="N2" s="4"/>
      <c r="O2" s="4" t="s">
        <v>290</v>
      </c>
      <c r="P2" s="4"/>
      <c r="Q2" s="4" t="s">
        <v>291</v>
      </c>
      <c r="R2" s="4"/>
      <c r="S2" s="4" t="s">
        <v>292</v>
      </c>
      <c r="T2" s="4"/>
    </row>
    <row r="3" ht="73" customHeight="1" spans="1:20">
      <c r="A3" s="16" t="s">
        <v>293</v>
      </c>
      <c r="B3" s="5" t="s">
        <v>294</v>
      </c>
      <c r="C3" s="17" t="s">
        <v>295</v>
      </c>
      <c r="D3" s="6" t="s">
        <v>294</v>
      </c>
      <c r="E3" s="16" t="s">
        <v>296</v>
      </c>
      <c r="F3" s="5" t="s">
        <v>294</v>
      </c>
      <c r="G3" s="6" t="s">
        <v>297</v>
      </c>
      <c r="H3" s="6" t="s">
        <v>294</v>
      </c>
      <c r="I3" s="5" t="s">
        <v>298</v>
      </c>
      <c r="J3" s="5" t="s">
        <v>294</v>
      </c>
      <c r="K3" s="6" t="s">
        <v>299</v>
      </c>
      <c r="L3" s="6" t="s">
        <v>294</v>
      </c>
      <c r="M3" s="5" t="s">
        <v>300</v>
      </c>
      <c r="N3" s="5" t="s">
        <v>294</v>
      </c>
      <c r="O3" s="5" t="s">
        <v>301</v>
      </c>
      <c r="P3" s="5" t="s">
        <v>294</v>
      </c>
      <c r="Q3" s="5" t="s">
        <v>302</v>
      </c>
      <c r="R3" s="5" t="s">
        <v>294</v>
      </c>
      <c r="S3" s="6" t="s">
        <v>303</v>
      </c>
      <c r="T3" s="6" t="s">
        <v>294</v>
      </c>
    </row>
    <row r="4" ht="76" customHeight="1" spans="1:20">
      <c r="A4" s="18" t="s">
        <v>27</v>
      </c>
      <c r="B4" s="13">
        <v>0</v>
      </c>
      <c r="C4" s="18" t="s">
        <v>27</v>
      </c>
      <c r="D4" s="13">
        <v>0</v>
      </c>
      <c r="E4" s="18" t="s">
        <v>27</v>
      </c>
      <c r="F4" s="13">
        <v>0</v>
      </c>
      <c r="G4" s="19" t="s">
        <v>304</v>
      </c>
      <c r="H4" s="20">
        <v>0</v>
      </c>
      <c r="I4" s="18" t="s">
        <v>37</v>
      </c>
      <c r="J4" s="24">
        <v>0</v>
      </c>
      <c r="K4" s="18" t="s">
        <v>305</v>
      </c>
      <c r="L4" s="24">
        <v>0</v>
      </c>
      <c r="M4" s="18" t="s">
        <v>41</v>
      </c>
      <c r="N4" s="20">
        <v>0</v>
      </c>
      <c r="O4" s="18" t="s">
        <v>41</v>
      </c>
      <c r="P4" s="20">
        <v>0</v>
      </c>
      <c r="Q4" s="18" t="s">
        <v>41</v>
      </c>
      <c r="R4" s="20">
        <v>0</v>
      </c>
      <c r="S4" s="19" t="s">
        <v>45</v>
      </c>
      <c r="T4" s="20">
        <v>0</v>
      </c>
    </row>
    <row r="5" ht="92" customHeight="1" spans="1:20">
      <c r="A5" s="18" t="s">
        <v>29</v>
      </c>
      <c r="B5" s="13">
        <v>2</v>
      </c>
      <c r="C5" s="18" t="s">
        <v>29</v>
      </c>
      <c r="D5" s="13">
        <v>2</v>
      </c>
      <c r="E5" s="18" t="s">
        <v>29</v>
      </c>
      <c r="F5" s="13">
        <v>2</v>
      </c>
      <c r="G5" s="19" t="s">
        <v>306</v>
      </c>
      <c r="H5" s="20">
        <v>1</v>
      </c>
      <c r="I5" s="18" t="s">
        <v>307</v>
      </c>
      <c r="J5" s="24">
        <v>5</v>
      </c>
      <c r="K5" s="18" t="s">
        <v>308</v>
      </c>
      <c r="L5" s="25">
        <v>5</v>
      </c>
      <c r="M5" s="18" t="s">
        <v>309</v>
      </c>
      <c r="N5" s="20">
        <v>2</v>
      </c>
      <c r="O5" s="18" t="s">
        <v>309</v>
      </c>
      <c r="P5" s="20">
        <v>2</v>
      </c>
      <c r="Q5" s="18" t="s">
        <v>309</v>
      </c>
      <c r="R5" s="20">
        <v>2</v>
      </c>
      <c r="S5" s="19" t="s">
        <v>310</v>
      </c>
      <c r="T5" s="20">
        <v>2</v>
      </c>
    </row>
    <row r="6" ht="77" customHeight="1" spans="1:20">
      <c r="A6" s="18" t="s">
        <v>30</v>
      </c>
      <c r="B6" s="13">
        <v>3</v>
      </c>
      <c r="C6" s="18" t="s">
        <v>30</v>
      </c>
      <c r="D6" s="13">
        <v>3</v>
      </c>
      <c r="E6" s="18" t="s">
        <v>30</v>
      </c>
      <c r="F6" s="13">
        <v>3</v>
      </c>
      <c r="G6" s="19" t="s">
        <v>35</v>
      </c>
      <c r="H6" s="20">
        <v>3</v>
      </c>
      <c r="K6" s="18" t="s">
        <v>39</v>
      </c>
      <c r="L6" s="25">
        <v>8</v>
      </c>
      <c r="M6" s="18" t="s">
        <v>311</v>
      </c>
      <c r="N6" s="20">
        <v>3</v>
      </c>
      <c r="O6" s="18" t="s">
        <v>311</v>
      </c>
      <c r="P6" s="20">
        <v>3</v>
      </c>
      <c r="Q6" s="18" t="s">
        <v>311</v>
      </c>
      <c r="R6" s="20">
        <v>3</v>
      </c>
      <c r="S6" s="19" t="s">
        <v>312</v>
      </c>
      <c r="T6" s="20">
        <v>10</v>
      </c>
    </row>
    <row r="7" ht="72" customHeight="1" spans="1:20">
      <c r="A7" s="18" t="s">
        <v>313</v>
      </c>
      <c r="B7" s="20">
        <v>5</v>
      </c>
      <c r="C7" s="18" t="s">
        <v>31</v>
      </c>
      <c r="D7" s="20">
        <v>5</v>
      </c>
      <c r="E7" s="18" t="s">
        <v>313</v>
      </c>
      <c r="F7" s="20">
        <v>5</v>
      </c>
      <c r="G7" s="19" t="s">
        <v>314</v>
      </c>
      <c r="H7" s="20">
        <v>5</v>
      </c>
      <c r="M7" s="18" t="s">
        <v>315</v>
      </c>
      <c r="N7" s="20">
        <v>5</v>
      </c>
      <c r="O7" s="18" t="s">
        <v>315</v>
      </c>
      <c r="P7" s="20">
        <v>5</v>
      </c>
      <c r="Q7" s="18" t="s">
        <v>315</v>
      </c>
      <c r="R7" s="20">
        <v>5</v>
      </c>
      <c r="S7" s="19" t="s">
        <v>316</v>
      </c>
      <c r="T7" s="20" t="s">
        <v>317</v>
      </c>
    </row>
    <row r="8" ht="71" customHeight="1" spans="1:18">
      <c r="A8" s="18" t="s">
        <v>32</v>
      </c>
      <c r="B8" s="20">
        <v>6</v>
      </c>
      <c r="C8" s="18" t="s">
        <v>32</v>
      </c>
      <c r="D8" s="20">
        <v>6</v>
      </c>
      <c r="E8" s="18" t="s">
        <v>32</v>
      </c>
      <c r="F8" s="20">
        <v>6</v>
      </c>
      <c r="G8" s="19" t="s">
        <v>318</v>
      </c>
      <c r="H8" s="20">
        <v>8</v>
      </c>
      <c r="M8" s="18" t="s">
        <v>319</v>
      </c>
      <c r="N8" s="20">
        <v>6</v>
      </c>
      <c r="O8" s="18" t="s">
        <v>320</v>
      </c>
      <c r="P8" s="20">
        <v>6</v>
      </c>
      <c r="Q8" s="18" t="s">
        <v>321</v>
      </c>
      <c r="R8" s="20">
        <v>6</v>
      </c>
    </row>
    <row r="9" ht="65" customHeight="1" spans="7:8">
      <c r="G9" s="21" t="s">
        <v>322</v>
      </c>
      <c r="H9" s="22">
        <v>15</v>
      </c>
    </row>
  </sheetData>
  <autoFilter ref="A3:P9">
    <extLst/>
  </autoFilter>
  <mergeCells count="10"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</mergeCells>
  <pageMargins left="0.700694444444445" right="0.700694444444445" top="0.751388888888889" bottom="0.751388888888889" header="0.298611111111111" footer="0.298611111111111"/>
  <pageSetup paperSize="9" scale="78" fitToHeight="0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FF0000"/>
    <pageSetUpPr fitToPage="1"/>
  </sheetPr>
  <dimension ref="A1:N11"/>
  <sheetViews>
    <sheetView zoomScale="85" zoomScaleNormal="85" workbookViewId="0">
      <pane ySplit="3" topLeftCell="A4" activePane="bottomLeft" state="frozen"/>
      <selection/>
      <selection pane="bottomLeft" activeCell="G13" sqref="G13"/>
    </sheetView>
  </sheetViews>
  <sheetFormatPr defaultColWidth="9" defaultRowHeight="14"/>
  <cols>
    <col min="1" max="1" width="20.6272727272727" customWidth="1"/>
    <col min="2" max="2" width="10.6272727272727" customWidth="1"/>
    <col min="3" max="3" width="20.6272727272727" customWidth="1"/>
    <col min="4" max="4" width="10.6272727272727" style="1" customWidth="1"/>
    <col min="5" max="5" width="20.6272727272727" customWidth="1"/>
    <col min="6" max="6" width="10.6272727272727" style="1" customWidth="1"/>
    <col min="7" max="7" width="20.6272727272727" customWidth="1"/>
    <col min="8" max="8" width="10.6272727272727" customWidth="1"/>
    <col min="9" max="9" width="20.6272727272727" customWidth="1"/>
    <col min="10" max="10" width="10.6272727272727" customWidth="1"/>
    <col min="11" max="11" width="20.6272727272727" customWidth="1"/>
    <col min="12" max="12" width="10.6272727272727" customWidth="1"/>
    <col min="13" max="13" width="20.6272727272727" customWidth="1"/>
    <col min="14" max="14" width="10.6272727272727" customWidth="1"/>
  </cols>
  <sheetData>
    <row r="1" ht="28" customHeight="1" spans="1:12">
      <c r="A1" s="2"/>
      <c r="B1" s="2"/>
      <c r="C1" s="2"/>
      <c r="D1" s="3"/>
      <c r="E1" s="2"/>
      <c r="F1" s="3"/>
      <c r="G1" s="2"/>
      <c r="H1" s="2"/>
      <c r="I1" s="2"/>
      <c r="J1" s="2"/>
      <c r="K1" s="2"/>
      <c r="L1" s="2"/>
    </row>
    <row r="2" ht="24" customHeight="1" spans="1:14">
      <c r="A2" s="4" t="s">
        <v>323</v>
      </c>
      <c r="B2" s="4"/>
      <c r="C2" s="4" t="s">
        <v>324</v>
      </c>
      <c r="D2" s="4"/>
      <c r="E2" s="4" t="s">
        <v>325</v>
      </c>
      <c r="F2" s="4"/>
      <c r="G2" s="4" t="s">
        <v>326</v>
      </c>
      <c r="H2" s="4"/>
      <c r="I2" s="4" t="s">
        <v>327</v>
      </c>
      <c r="J2" s="4"/>
      <c r="K2" s="4" t="s">
        <v>328</v>
      </c>
      <c r="L2" s="4"/>
      <c r="M2" s="4" t="s">
        <v>329</v>
      </c>
      <c r="N2" s="4"/>
    </row>
    <row r="3" ht="27" spans="1:14">
      <c r="A3" s="5" t="s">
        <v>330</v>
      </c>
      <c r="B3" s="5" t="s">
        <v>294</v>
      </c>
      <c r="C3" s="6" t="s">
        <v>331</v>
      </c>
      <c r="D3" s="6" t="s">
        <v>294</v>
      </c>
      <c r="E3" s="5" t="s">
        <v>332</v>
      </c>
      <c r="F3" s="5" t="s">
        <v>294</v>
      </c>
      <c r="G3" s="6" t="s">
        <v>333</v>
      </c>
      <c r="H3" s="6" t="s">
        <v>294</v>
      </c>
      <c r="I3" s="5" t="s">
        <v>334</v>
      </c>
      <c r="J3" s="5" t="s">
        <v>294</v>
      </c>
      <c r="K3" s="6" t="s">
        <v>335</v>
      </c>
      <c r="L3" s="6" t="s">
        <v>294</v>
      </c>
      <c r="M3" s="5" t="s">
        <v>336</v>
      </c>
      <c r="N3" s="5" t="s">
        <v>294</v>
      </c>
    </row>
    <row r="4" ht="27" spans="1:14">
      <c r="A4" s="7" t="s">
        <v>48</v>
      </c>
      <c r="B4" s="8">
        <v>0</v>
      </c>
      <c r="C4" s="7" t="s">
        <v>337</v>
      </c>
      <c r="D4" s="9">
        <v>0</v>
      </c>
      <c r="E4" s="7" t="s">
        <v>338</v>
      </c>
      <c r="F4" s="9">
        <v>0</v>
      </c>
      <c r="G4" s="7" t="s">
        <v>54</v>
      </c>
      <c r="H4" s="10">
        <v>0</v>
      </c>
      <c r="I4" s="7" t="s">
        <v>339</v>
      </c>
      <c r="J4" s="13">
        <v>0</v>
      </c>
      <c r="K4" s="14" t="s">
        <v>58</v>
      </c>
      <c r="L4" s="10">
        <v>0</v>
      </c>
      <c r="M4" s="14" t="s">
        <v>60</v>
      </c>
      <c r="N4" s="13">
        <v>0</v>
      </c>
    </row>
    <row r="5" ht="54" spans="1:14">
      <c r="A5" s="7" t="s">
        <v>340</v>
      </c>
      <c r="B5" s="8">
        <v>10</v>
      </c>
      <c r="C5" s="7" t="s">
        <v>341</v>
      </c>
      <c r="D5" s="9">
        <v>3</v>
      </c>
      <c r="E5" s="7" t="s">
        <v>342</v>
      </c>
      <c r="F5" s="9">
        <v>2</v>
      </c>
      <c r="G5" s="7" t="s">
        <v>343</v>
      </c>
      <c r="H5" s="10">
        <v>5</v>
      </c>
      <c r="I5" s="7" t="s">
        <v>56</v>
      </c>
      <c r="J5" s="13">
        <v>2</v>
      </c>
      <c r="K5" s="14" t="s">
        <v>344</v>
      </c>
      <c r="L5" s="10">
        <v>10</v>
      </c>
      <c r="M5" s="14" t="s">
        <v>345</v>
      </c>
      <c r="N5" s="13">
        <v>5</v>
      </c>
    </row>
    <row r="6" ht="54" spans="1:12">
      <c r="A6" s="7" t="s">
        <v>346</v>
      </c>
      <c r="B6" s="8">
        <v>15</v>
      </c>
      <c r="C6" s="7" t="s">
        <v>347</v>
      </c>
      <c r="D6" s="9">
        <v>10</v>
      </c>
      <c r="E6" s="7" t="s">
        <v>348</v>
      </c>
      <c r="F6" s="9">
        <v>5</v>
      </c>
      <c r="G6" s="7" t="s">
        <v>349</v>
      </c>
      <c r="H6" s="10">
        <v>20</v>
      </c>
      <c r="I6" s="7" t="s">
        <v>350</v>
      </c>
      <c r="J6" s="13">
        <v>10</v>
      </c>
      <c r="K6" s="7" t="s">
        <v>351</v>
      </c>
      <c r="L6" s="15">
        <v>20</v>
      </c>
    </row>
    <row r="7" ht="40.5" spans="1:10">
      <c r="A7" s="7" t="s">
        <v>352</v>
      </c>
      <c r="B7" s="11">
        <v>10</v>
      </c>
      <c r="C7" s="7" t="s">
        <v>353</v>
      </c>
      <c r="D7" s="9" t="s">
        <v>317</v>
      </c>
      <c r="E7" s="7" t="s">
        <v>354</v>
      </c>
      <c r="F7" s="12">
        <v>7</v>
      </c>
      <c r="G7" s="7" t="s">
        <v>355</v>
      </c>
      <c r="H7" s="10">
        <v>20</v>
      </c>
      <c r="I7" s="7" t="s">
        <v>356</v>
      </c>
      <c r="J7" s="13">
        <v>20</v>
      </c>
    </row>
    <row r="8" ht="67.5" spans="1:8">
      <c r="A8" s="7" t="s">
        <v>357</v>
      </c>
      <c r="B8" s="8">
        <v>15</v>
      </c>
      <c r="C8" s="7" t="s">
        <v>358</v>
      </c>
      <c r="D8" s="9">
        <v>10</v>
      </c>
      <c r="E8" s="7" t="s">
        <v>52</v>
      </c>
      <c r="F8" s="12">
        <v>10</v>
      </c>
      <c r="G8" s="7" t="s">
        <v>359</v>
      </c>
      <c r="H8" s="10">
        <v>20</v>
      </c>
    </row>
    <row r="9" ht="54" spans="1:6">
      <c r="A9" s="7" t="s">
        <v>360</v>
      </c>
      <c r="B9" s="11" t="s">
        <v>317</v>
      </c>
      <c r="C9" s="7" t="s">
        <v>50</v>
      </c>
      <c r="D9" s="9">
        <v>15</v>
      </c>
      <c r="E9" s="7" t="s">
        <v>361</v>
      </c>
      <c r="F9" s="12">
        <v>5</v>
      </c>
    </row>
    <row r="10" ht="30" customHeight="1" spans="3:6">
      <c r="C10" s="7" t="s">
        <v>362</v>
      </c>
      <c r="D10" s="9">
        <v>15</v>
      </c>
      <c r="E10" s="7" t="s">
        <v>363</v>
      </c>
      <c r="F10" s="12">
        <v>5</v>
      </c>
    </row>
    <row r="11" ht="81" spans="3:4">
      <c r="C11" s="7" t="s">
        <v>364</v>
      </c>
      <c r="D11" s="9">
        <v>30</v>
      </c>
    </row>
  </sheetData>
  <autoFilter ref="A3:L11">
    <extLst/>
  </autoFilter>
  <mergeCells count="7">
    <mergeCell ref="A2:B2"/>
    <mergeCell ref="C2:D2"/>
    <mergeCell ref="E2:F2"/>
    <mergeCell ref="G2:H2"/>
    <mergeCell ref="I2:J2"/>
    <mergeCell ref="K2:L2"/>
    <mergeCell ref="M2:N2"/>
  </mergeCells>
  <pageMargins left="0.751388888888889" right="0.751388888888889" top="1" bottom="1" header="0.5" footer="0.5"/>
  <pageSetup paperSize="9" scale="57" fitToHeight="0" orientation="landscape" horizontalDpi="6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风险评估模型1（单张票作业）</vt:lpstr>
      <vt:lpstr>典型作业项目库（不能删除）</vt:lpstr>
      <vt:lpstr>作业人员能力（不能删除）</vt:lpstr>
      <vt:lpstr>作业环境和时间影响风险（不能删除）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何国栋</cp:lastModifiedBy>
  <dcterms:created xsi:type="dcterms:W3CDTF">2021-03-16T06:58:00Z</dcterms:created>
  <dcterms:modified xsi:type="dcterms:W3CDTF">2024-05-23T12:39:23Z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E0CF5C5BB9FA47C6A2D4EDED633BD1B2</vt:lpwstr>
  </property>
  <property fmtid="{D5CDD505-2E9C-101B-9397-08002B2CF9AE}" pid="4" name="KSOReadingLayout">
    <vt:bool>true</vt:bool>
  </property>
</Properties>
</file>